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KUI\Downloads\Programs\ACI\"/>
    </mc:Choice>
  </mc:AlternateContent>
  <xr:revisionPtr revIDLastSave="0" documentId="13_ncr:1_{AF213E2B-5E0E-4B76-8625-77F68B9F9AC8}" xr6:coauthVersionLast="47" xr6:coauthVersionMax="47" xr10:uidLastSave="{00000000-0000-0000-0000-000000000000}"/>
  <bookViews>
    <workbookView xWindow="-120" yWindow="-120" windowWidth="20730" windowHeight="11040" xr2:uid="{00000000-000D-0000-FFFF-FFFF00000000}"/>
  </bookViews>
  <sheets>
    <sheet name="Vendor" sheetId="16" r:id="rId1"/>
    <sheet name="Participant" sheetId="4" r:id="rId2"/>
    <sheet name="Budgeting" sheetId="1" r:id="rId3"/>
    <sheet name="Satisfaction Survey" sheetId="1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9" roundtripDataChecksum="mVT5C8xM7So0lryeDpf680M/EuwMaZsaepI+LmNS7o0="/>
    </ext>
  </extLst>
</workbook>
</file>

<file path=xl/calcChain.xml><?xml version="1.0" encoding="utf-8"?>
<calcChain xmlns="http://schemas.openxmlformats.org/spreadsheetml/2006/main">
  <c r="I4" i="4" l="1"/>
  <c r="I26" i="1"/>
  <c r="E23" i="1"/>
  <c r="E21" i="1"/>
  <c r="E20" i="1"/>
  <c r="J18" i="1"/>
  <c r="E18" i="1"/>
  <c r="E16" i="1"/>
  <c r="E15" i="1"/>
  <c r="G14" i="1"/>
  <c r="G26" i="1" s="1"/>
  <c r="J26" i="1" s="1"/>
  <c r="E14" i="1"/>
  <c r="E13" i="1"/>
  <c r="J12" i="1"/>
  <c r="E12" i="1"/>
  <c r="J10" i="1"/>
  <c r="E10" i="1"/>
  <c r="J9" i="1"/>
  <c r="E9" i="1"/>
  <c r="E7" i="1"/>
  <c r="J6" i="1"/>
  <c r="E6" i="1"/>
  <c r="E26" i="1" s="1"/>
  <c r="J14"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6">
    <bk>
      <extLst>
        <ext uri="{3e2802c4-a4d2-4d8b-9148-e3be6c30e623}">
          <xlrd:rvb i="0"/>
        </ext>
      </extLst>
    </bk>
    <bk>
      <extLst>
        <ext uri="{3e2802c4-a4d2-4d8b-9148-e3be6c30e623}">
          <xlrd:rvb i="40"/>
        </ext>
      </extLst>
    </bk>
    <bk>
      <extLst>
        <ext uri="{3e2802c4-a4d2-4d8b-9148-e3be6c30e623}">
          <xlrd:rvb i="118"/>
        </ext>
      </extLst>
    </bk>
    <bk>
      <extLst>
        <ext uri="{3e2802c4-a4d2-4d8b-9148-e3be6c30e623}">
          <xlrd:rvb i="178"/>
        </ext>
      </extLst>
    </bk>
    <bk>
      <extLst>
        <ext uri="{3e2802c4-a4d2-4d8b-9148-e3be6c30e623}">
          <xlrd:rvb i="240"/>
        </ext>
      </extLst>
    </bk>
    <bk>
      <extLst>
        <ext uri="{3e2802c4-a4d2-4d8b-9148-e3be6c30e623}">
          <xlrd:rvb i="311"/>
        </ext>
      </extLst>
    </bk>
    <bk>
      <extLst>
        <ext uri="{3e2802c4-a4d2-4d8b-9148-e3be6c30e623}">
          <xlrd:rvb i="361"/>
        </ext>
      </extLst>
    </bk>
    <bk>
      <extLst>
        <ext uri="{3e2802c4-a4d2-4d8b-9148-e3be6c30e623}">
          <xlrd:rvb i="416"/>
        </ext>
      </extLst>
    </bk>
    <bk>
      <extLst>
        <ext uri="{3e2802c4-a4d2-4d8b-9148-e3be6c30e623}">
          <xlrd:rvb i="460"/>
        </ext>
      </extLst>
    </bk>
    <bk>
      <extLst>
        <ext uri="{3e2802c4-a4d2-4d8b-9148-e3be6c30e623}">
          <xlrd:rvb i="514"/>
        </ext>
      </extLst>
    </bk>
    <bk>
      <extLst>
        <ext uri="{3e2802c4-a4d2-4d8b-9148-e3be6c30e623}">
          <xlrd:rvb i="598"/>
        </ext>
      </extLst>
    </bk>
    <bk>
      <extLst>
        <ext uri="{3e2802c4-a4d2-4d8b-9148-e3be6c30e623}">
          <xlrd:rvb i="655"/>
        </ext>
      </extLst>
    </bk>
    <bk>
      <extLst>
        <ext uri="{3e2802c4-a4d2-4d8b-9148-e3be6c30e623}">
          <xlrd:rvb i="711"/>
        </ext>
      </extLst>
    </bk>
    <bk>
      <extLst>
        <ext uri="{3e2802c4-a4d2-4d8b-9148-e3be6c30e623}">
          <xlrd:rvb i="765"/>
        </ext>
      </extLst>
    </bk>
    <bk>
      <extLst>
        <ext uri="{3e2802c4-a4d2-4d8b-9148-e3be6c30e623}">
          <xlrd:rvb i="812"/>
        </ext>
      </extLst>
    </bk>
    <bk>
      <extLst>
        <ext uri="{3e2802c4-a4d2-4d8b-9148-e3be6c30e623}">
          <xlrd:rvb i="876"/>
        </ext>
      </extLst>
    </bk>
  </futureMetadata>
  <valueMetadata count="16">
    <bk>
      <rc t="1" v="0"/>
    </bk>
    <bk>
      <rc t="1" v="1"/>
    </bk>
    <bk>
      <rc t="1" v="2"/>
    </bk>
    <bk>
      <rc t="1" v="3"/>
    </bk>
    <bk>
      <rc t="1" v="4"/>
    </bk>
    <bk>
      <rc t="1" v="5"/>
    </bk>
    <bk>
      <rc t="1" v="6"/>
    </bk>
    <bk>
      <rc t="1" v="7"/>
    </bk>
    <bk>
      <rc t="1" v="8"/>
    </bk>
    <bk>
      <rc t="1" v="9"/>
    </bk>
    <bk>
      <rc t="1" v="10"/>
    </bk>
    <bk>
      <rc t="1" v="11"/>
    </bk>
    <bk>
      <rc t="1" v="12"/>
    </bk>
    <bk>
      <rc t="1" v="13"/>
    </bk>
    <bk>
      <rc t="1" v="14"/>
    </bk>
    <bk>
      <rc t="1" v="15"/>
    </bk>
  </valueMetadata>
</metadata>
</file>

<file path=xl/sharedStrings.xml><?xml version="1.0" encoding="utf-8"?>
<sst xmlns="http://schemas.openxmlformats.org/spreadsheetml/2006/main" count="879" uniqueCount="476">
  <si>
    <t>RAB Airlangga Cultural Immersion 2025 Batch 1</t>
  </si>
  <si>
    <t>26 - 27 April 2025 || Malang dan Batu, Jawa Timur</t>
  </si>
  <si>
    <t>No</t>
  </si>
  <si>
    <t>Kebutuhan</t>
  </si>
  <si>
    <t>Harga Satuan</t>
  </si>
  <si>
    <t>Jumlah</t>
  </si>
  <si>
    <t>Subtotal</t>
  </si>
  <si>
    <t>Keterangan</t>
  </si>
  <si>
    <t>Realisasi</t>
  </si>
  <si>
    <t>Invoice</t>
  </si>
  <si>
    <t>Pembayaran</t>
  </si>
  <si>
    <t>Persentase</t>
  </si>
  <si>
    <t>Akomodasi</t>
  </si>
  <si>
    <t>Hotel 38FrontOne Batu - Room</t>
  </si>
  <si>
    <r>
      <rPr>
        <u/>
        <sz val="10"/>
        <color rgb="FF1155CC"/>
        <rFont val="Arial"/>
      </rPr>
      <t>Invoice_ThreeEight Frontone Boutique Hotel.pdf</t>
    </r>
  </si>
  <si>
    <t>Hotel 38FrontOne Batu - Extra Bed</t>
  </si>
  <si>
    <t>Kegiatan</t>
  </si>
  <si>
    <t>Desa Wisata Pujon Kidul - Paket Edukasi Peternakan / Pertanian</t>
  </si>
  <si>
    <t>Edukasi Peternakan dan UMKM atau Edukasi Pertanian di Kabupaten Malang</t>
  </si>
  <si>
    <r>
      <rPr>
        <u/>
        <sz val="10"/>
        <color rgb="FF1155CC"/>
        <rFont val="Arial"/>
      </rPr>
      <t>Invoice_Retribusi Edukasi Pertanian_Cafe Pujon Kidul.pdf</t>
    </r>
  </si>
  <si>
    <t>900.000 untuk tip driver</t>
  </si>
  <si>
    <t>Kaliandra Adventure</t>
  </si>
  <si>
    <r>
      <rPr>
        <b/>
        <sz val="10"/>
        <color theme="1"/>
        <rFont val="Arial"/>
      </rPr>
      <t xml:space="preserve">Kaliandra Jeep Adventure - </t>
    </r>
    <r>
      <rPr>
        <sz val="10"/>
        <color theme="1"/>
        <rFont val="Arial"/>
      </rPr>
      <t>Paket Basic (Sudah include dokumentasi drone)</t>
    </r>
  </si>
  <si>
    <r>
      <rPr>
        <u/>
        <sz val="10"/>
        <color rgb="FF1155CC"/>
        <rFont val="Arial"/>
      </rPr>
      <t>Invoice_Paket Basic Fun_Kaliandra Batu Adventure.pdf</t>
    </r>
  </si>
  <si>
    <t>Konsumsi</t>
  </si>
  <si>
    <t>Snack - Day 1</t>
  </si>
  <si>
    <r>
      <rPr>
        <u/>
        <sz val="10"/>
        <color rgb="FF1155CC"/>
        <rFont val="Arial"/>
      </rPr>
      <t>Laritta.png</t>
    </r>
  </si>
  <si>
    <t>Makan Siang - Day 1</t>
  </si>
  <si>
    <t>Include Desa Wisata Pujon Kidul</t>
  </si>
  <si>
    <t>Makan Malam - Joglo Batu</t>
  </si>
  <si>
    <r>
      <rPr>
        <u/>
        <sz val="10"/>
        <color rgb="FF1155CC"/>
        <rFont val="Arial"/>
      </rPr>
      <t>Invoice_Konsumsi_Rumah Makan Joglo Batu.jpg</t>
    </r>
  </si>
  <si>
    <t>Sarapan - Day 2</t>
  </si>
  <si>
    <t>Include Hotel</t>
  </si>
  <si>
    <t>Makan Siang - Day 2</t>
  </si>
  <si>
    <t>Include Jeep</t>
  </si>
  <si>
    <t>Habis Pakai</t>
  </si>
  <si>
    <t>Baju Kegiatan</t>
  </si>
  <si>
    <r>
      <rPr>
        <u/>
        <sz val="10"/>
        <color rgb="FF1155CC"/>
        <rFont val="Arial"/>
      </rPr>
      <t>Invoice_Baju Kegiatan_Cititex.pdf</t>
    </r>
  </si>
  <si>
    <t>Transportasi</t>
  </si>
  <si>
    <t>Toll</t>
  </si>
  <si>
    <t>Untuk 3 bus, roundtrip</t>
  </si>
  <si>
    <t>Retribusi</t>
  </si>
  <si>
    <t>Tip driver dan kernet + biaya parkir 3 bus</t>
  </si>
  <si>
    <t>Emergency</t>
  </si>
  <si>
    <t>Total</t>
  </si>
  <si>
    <t>Desa Wisata Pujon Kidul</t>
  </si>
  <si>
    <t>Hotel</t>
  </si>
  <si>
    <t>Nama</t>
  </si>
  <si>
    <t>Program</t>
  </si>
  <si>
    <t>Fakultas</t>
  </si>
  <si>
    <t>Size Baju</t>
  </si>
  <si>
    <t>sEX</t>
  </si>
  <si>
    <t xml:space="preserve">Nur Nabilah Binti Mohd Shahfiee </t>
  </si>
  <si>
    <t>AMERTA XXII</t>
  </si>
  <si>
    <t>FISIP</t>
  </si>
  <si>
    <t>XS</t>
  </si>
  <si>
    <t>F</t>
  </si>
  <si>
    <t xml:space="preserve">Carol Landeros Silva </t>
  </si>
  <si>
    <t>Law</t>
  </si>
  <si>
    <t>M</t>
  </si>
  <si>
    <t>TA TITHTHEARA</t>
  </si>
  <si>
    <t>Faculty of Law</t>
  </si>
  <si>
    <t>Maciej Dobrowolski</t>
  </si>
  <si>
    <t>XL</t>
  </si>
  <si>
    <t>Vicheka Chan</t>
  </si>
  <si>
    <t>S</t>
  </si>
  <si>
    <t>KORRI MOHAD Nesrine</t>
  </si>
  <si>
    <t>Amerta Intership</t>
  </si>
  <si>
    <t>L</t>
  </si>
  <si>
    <t>Manelle BAAKILI</t>
  </si>
  <si>
    <t xml:space="preserve">Amerta </t>
  </si>
  <si>
    <t>Maksymilian Adam Budzyński</t>
  </si>
  <si>
    <t>Marck Esthevyn Verzosa Cabiso</t>
  </si>
  <si>
    <t>Pusat Bahasa dan Multibudaya</t>
  </si>
  <si>
    <t>Nesrine Aggoun</t>
  </si>
  <si>
    <t>Feb</t>
  </si>
  <si>
    <t>Anissa Malha Martine Saidani</t>
  </si>
  <si>
    <t xml:space="preserve">Economic and Business </t>
  </si>
  <si>
    <t>Zainab Imran</t>
  </si>
  <si>
    <t xml:space="preserve">Faculty of Humanities and Social Sciences </t>
  </si>
  <si>
    <t>Chikondi Crispin Phiri</t>
  </si>
  <si>
    <t>KNB 2024</t>
  </si>
  <si>
    <t xml:space="preserve">Sekolah Pascasarjana </t>
  </si>
  <si>
    <t>Game Dintle</t>
  </si>
  <si>
    <t>Zainab Selemani Kasenya</t>
  </si>
  <si>
    <t>FST</t>
  </si>
  <si>
    <t>Naw Eh Wai Htoo</t>
  </si>
  <si>
    <t>Fisip</t>
  </si>
  <si>
    <t xml:space="preserve">Ghulam Muhammad </t>
  </si>
  <si>
    <t xml:space="preserve">Jaqueline Almiro Da Silva Figueiredo </t>
  </si>
  <si>
    <t xml:space="preserve">Faculty of business and economics </t>
  </si>
  <si>
    <t>Eliel Takunda Chiponya</t>
  </si>
  <si>
    <t>TIAS 2024</t>
  </si>
  <si>
    <t xml:space="preserve">Pharmacy </t>
  </si>
  <si>
    <t xml:space="preserve">Mohamed Abdi Abdullahi </t>
  </si>
  <si>
    <t>FEB</t>
  </si>
  <si>
    <t xml:space="preserve">Natalie Panashe Msipa </t>
  </si>
  <si>
    <t>Usman Mohammed Abba</t>
  </si>
  <si>
    <t xml:space="preserve">Halima Abdi Abdullahi </t>
  </si>
  <si>
    <t>XXL</t>
  </si>
  <si>
    <t xml:space="preserve">Byiringiro Christophe </t>
  </si>
  <si>
    <t>ADS 2024</t>
  </si>
  <si>
    <t>Post Graduate School</t>
  </si>
  <si>
    <t>Owusu Amos</t>
  </si>
  <si>
    <t xml:space="preserve">Sadam Abdulbari Abdulhameed Qasem Al-Qadhi </t>
  </si>
  <si>
    <t xml:space="preserve">Faculty of Science and Technology </t>
  </si>
  <si>
    <t xml:space="preserve">Belal HR Herzallah </t>
  </si>
  <si>
    <t>moneeb ibrahim amen mohamed</t>
  </si>
  <si>
    <t xml:space="preserve">FARISHA SOFIA BINTI MOHAMAD AZHAR </t>
  </si>
  <si>
    <t>IUP 2024</t>
  </si>
  <si>
    <t xml:space="preserve">FACULTY OF VETERINARY MEDICINE </t>
  </si>
  <si>
    <t>MAIZATUL HASYA BINTI MAHMUD MUHAYYIDIN</t>
  </si>
  <si>
    <t>Doreen Png Shi Hui</t>
  </si>
  <si>
    <t>Christina Loo</t>
  </si>
  <si>
    <t>Joyce Chew Yi Hui</t>
  </si>
  <si>
    <t>Lim Qian You</t>
  </si>
  <si>
    <t xml:space="preserve">Ooh Zi Xuan </t>
  </si>
  <si>
    <t>Thaneshaa Vincent</t>
  </si>
  <si>
    <t>Yow Yan Xin</t>
  </si>
  <si>
    <t xml:space="preserve">Syarifah Alia binti Mohammad Azhar </t>
  </si>
  <si>
    <t>Nia Sara binti Nazran</t>
  </si>
  <si>
    <t>Lim Ee Kee</t>
  </si>
  <si>
    <t>FARISYA ADRIANA BINTI JAAFAR</t>
  </si>
  <si>
    <t>Qistina Nadhirah Binti Masri</t>
  </si>
  <si>
    <t>Naylee Soraya Binti Zulkarshamsi</t>
  </si>
  <si>
    <t>Lim Ying Xuan</t>
  </si>
  <si>
    <t>Chai Zhi Ning</t>
  </si>
  <si>
    <t>Nurul Sabrina Binti Moh Zakir</t>
  </si>
  <si>
    <t>Soo Xianyan</t>
  </si>
  <si>
    <t>Nationality</t>
  </si>
  <si>
    <t>Malaysia</t>
  </si>
  <si>
    <t>Filipino</t>
  </si>
  <si>
    <t>Male</t>
  </si>
  <si>
    <t>N/A</t>
  </si>
  <si>
    <t>LINGUA PROGRAM</t>
  </si>
  <si>
    <t>Perfectly structured trip.</t>
  </si>
  <si>
    <t>During this two-day is a fun filled trip and I was able to build new friends from across the globe and with the AGE staffs and Interns.</t>
  </si>
  <si>
    <t>KENYA</t>
  </si>
  <si>
    <t>MOHAMED ABDI ABDULLAHI</t>
  </si>
  <si>
    <t>Mnagement</t>
  </si>
  <si>
    <t xml:space="preserve"> by the way the program ws realy amazing ...we only need more joyful and and more develop areas like the beaches like Bali if possible </t>
  </si>
  <si>
    <t>the beauty and the enticing view of the farms</t>
  </si>
  <si>
    <t xml:space="preserve">Joining Airlangga Cultural Immersion 2025 was amazing  I learned, connected, and experienced Indonesia’s beautiful culture.
</t>
  </si>
  <si>
    <t xml:space="preserve">Yemen </t>
  </si>
  <si>
    <t xml:space="preserve">Chemistry </t>
  </si>
  <si>
    <t xml:space="preserve">Maybe the time wasn't enough.
I suggest there will be a more fun adventure like climbing. </t>
  </si>
  <si>
    <t xml:space="preserve">Have fun in the river, as well as seeing the beautiful scenery in the mountain. </t>
  </si>
  <si>
    <t xml:space="preserve">Joining Airlangga Cultural Immersion 2025 Batch I has been nothing short of transformative. Through this enriching program, I had the privilege of engaging with diverse cultures, connecting with inspiring individuals, and deepening my understanding of global perspectives.  </t>
  </si>
  <si>
    <t>Malaysian</t>
  </si>
  <si>
    <t>Female</t>
  </si>
  <si>
    <t>Kedokteran hewan</t>
  </si>
  <si>
    <t>-</t>
  </si>
  <si>
    <t>Jeep</t>
  </si>
  <si>
    <t xml:space="preserve">Malaysia </t>
  </si>
  <si>
    <t xml:space="preserve">Joyce Chew Yi Hui </t>
  </si>
  <si>
    <t xml:space="preserve">Faculty of Kedokteraan Hewan </t>
  </si>
  <si>
    <t xml:space="preserve">Kedokteran Hewan </t>
  </si>
  <si>
    <t>EVERYTHING WASSS AMAZINGGGGGGG LOVE IT VERY VERY VERY MUCHHH🥰😍😍😍</t>
  </si>
  <si>
    <t>I enjoyed the farm workshop as we got to get some tomatoes back as souvenirs hehe 🥰</t>
  </si>
  <si>
    <t>AMAZING ?!</t>
  </si>
  <si>
    <t>Fakultas Kedokteran Hewan</t>
  </si>
  <si>
    <t>Kedokteran Hewan</t>
  </si>
  <si>
    <t>there is nothing to be improved because all the activities during this trip was wonderful and i had a great experience and a good time with nature.</t>
  </si>
  <si>
    <t>definitely the cabun talun activity because it was the most exciting one with beautiful views</t>
  </si>
  <si>
    <t>very good</t>
  </si>
  <si>
    <t>FKH</t>
  </si>
  <si>
    <t>Maybe we need more time during lunch because some of us need to pray and we also would love to buy some souvenirs</t>
  </si>
  <si>
    <t>All activities</t>
  </si>
  <si>
    <t>Really fun !!</t>
  </si>
  <si>
    <t xml:space="preserve">Cambodia </t>
  </si>
  <si>
    <t>At least three days and two-night trip, it will be nice.</t>
  </si>
  <si>
    <t>Off-road tour</t>
  </si>
  <si>
    <t>It was fun and memorable. It was such an unforgettable experience.</t>
  </si>
  <si>
    <t xml:space="preserve">Kenya </t>
  </si>
  <si>
    <t>For me, it was really nice and I appreciate all</t>
  </si>
  <si>
    <t>Joining the Airlangga Cultural Immersion 2025 Batch I with Airlangga Global Engagement was an unforgettable experience that broadened my cultural understanding and built lifelong friendships.</t>
  </si>
  <si>
    <t>Myanmar</t>
  </si>
  <si>
    <t xml:space="preserve">S2 Media and Communication </t>
  </si>
  <si>
    <t xml:space="preserve">It was very fun and also not in a rush because we were given time to rest a lot on the first day. </t>
  </si>
  <si>
    <t>Sightseeing the view and flowers; being in the mountains</t>
  </si>
  <si>
    <t xml:space="preserve">The trip was lovely especially because it was in Batu and its cold weather. Staffs were AGE were helpful and always ready to help us. </t>
  </si>
  <si>
    <t>Sudan</t>
  </si>
  <si>
    <t>Moneeb Ibrahim Amen Mohamed</t>
  </si>
  <si>
    <t>Economics and Business</t>
  </si>
  <si>
    <t>accounting</t>
  </si>
  <si>
    <t>Actually everything went well and I don't think anything needs to be fixed</t>
  </si>
  <si>
    <t>When we rode the cars and drove around the mountains</t>
  </si>
  <si>
    <t>Lines are not enough to describe this beautiful adventure. We got out of the pressure of studying and had fun with you. Thank you and I look forward to the next one.</t>
  </si>
  <si>
    <t>Zimbabwe</t>
  </si>
  <si>
    <t>Pharmacy</t>
  </si>
  <si>
    <t>The trip was very fine</t>
  </si>
  <si>
    <t xml:space="preserve">Kaliandra Batu Adventure trip </t>
  </si>
  <si>
    <t xml:space="preserve">We had priceless moments which will certain be unforgettable. They events were well coordinated and very very enjoyable </t>
  </si>
  <si>
    <t>MALAYSIAN</t>
  </si>
  <si>
    <t>FACULTY OF VETERINARY SCIENCE</t>
  </si>
  <si>
    <t>IUP</t>
  </si>
  <si>
    <t xml:space="preserve">it was an amazing trip! I hope next time, we can still be included in these educational trips and learn more about the cultures in Indonesia! I dont think there are any problems to be fixed or improved, I just hope that next time, ice breaking activities or games can be held among the students so we can all get to know each other! </t>
  </si>
  <si>
    <t>loveeeeed the trip to Coban Talun! The jeep trip was truly an unforgettable experience.</t>
  </si>
  <si>
    <t>Joining this activity held by Airlangga was defenitely worth the weekend! We shared sweet memories amd smiles with people from different countries and everyone was so supportive and engaging! Thank you to everybody who made the trip 100 times better :D if there was a chance to do this again, I would be the first to register! &lt;3</t>
  </si>
  <si>
    <t>Tanzanian</t>
  </si>
  <si>
    <t>Chemistry</t>
  </si>
  <si>
    <t>The program was well organised</t>
  </si>
  <si>
    <t>I enjoyed everything</t>
  </si>
  <si>
    <t xml:space="preserve">Enjoyable and full of entertainment. </t>
  </si>
  <si>
    <t>Farmasi</t>
  </si>
  <si>
    <t>Farmasi /S1</t>
  </si>
  <si>
    <t>Amazing experience,views and fun activities. Improvement to add more activities and days for the trip.</t>
  </si>
  <si>
    <t>Jeep ride</t>
  </si>
  <si>
    <t>I am grateful for the opportunity to attend the cultural event this past weekend. It was a memorable experience that I appreciate. I enjoyed the knowledge of knowing how to plant and care for tomatoes. Definitely will join more of these trips .</t>
  </si>
  <si>
    <t xml:space="preserve">Malawian </t>
  </si>
  <si>
    <t>Chikondi Chrispin Phiri</t>
  </si>
  <si>
    <t>Manajemen Bencana Alam</t>
  </si>
  <si>
    <t>Everything was great.</t>
  </si>
  <si>
    <t>Agricultural Tour</t>
  </si>
  <si>
    <t xml:space="preserve">The event was insightful and fun. </t>
  </si>
  <si>
    <t>Have extra time for muslim to pray. Not to be  rushing.</t>
  </si>
  <si>
    <t>When it time to eat</t>
  </si>
  <si>
    <t xml:space="preserve">-
</t>
  </si>
  <si>
    <t>Ghanaian</t>
  </si>
  <si>
    <t>Amos owusu</t>
  </si>
  <si>
    <t>S2- Accounting</t>
  </si>
  <si>
    <t xml:space="preserve">add other sources such as beach or volcanic mountains </t>
  </si>
  <si>
    <t>off road adventure</t>
  </si>
  <si>
    <t>The program was very educative and engaging. I would like to thank the AGE team and UNAIR for providing us this opportunity to explore Malang.</t>
  </si>
  <si>
    <t>Cambodian</t>
  </si>
  <si>
    <t>Ta Tiththeara</t>
  </si>
  <si>
    <t>All things were good.</t>
  </si>
  <si>
    <t xml:space="preserve">Jeep adventure </t>
  </si>
  <si>
    <t>The program gave me lots of enjoyabale moments, met new people and make new friends, good places and food, and new experiences.</t>
  </si>
  <si>
    <t xml:space="preserve">Pakistani </t>
  </si>
  <si>
    <t xml:space="preserve">Muhammad </t>
  </si>
  <si>
    <t xml:space="preserve">BIPA </t>
  </si>
  <si>
    <t>Please provide the shirts which are requested.</t>
  </si>
  <si>
    <t>Jeep day.</t>
  </si>
  <si>
    <t>Overall, it was a wonderful chance for all of us to learn about Indonesia’s culture and beauty, and to meet amazing people from around the world. Programs like this are held at least once every three months, giving international students the opportunity to experience Indonesia’s rich culture, delicious food, and beautiful scenery.</t>
  </si>
  <si>
    <t>Motswana</t>
  </si>
  <si>
    <t>Game Baraedi Dintle</t>
  </si>
  <si>
    <t>Public Policy</t>
  </si>
  <si>
    <t>Overall, I think the program is very well-structured and provides a great foundation for seeing Indonesia and appreciating the cultural diversity.</t>
  </si>
  <si>
    <t>Sight seeing Batu</t>
  </si>
  <si>
    <t xml:space="preserve">Joining the Airlangga Cultural Immersion 2025 Batch I with Airlangga Global Engagement has been an absolutely incredible experience! 
One of the highlights of the program was our visit to Batu, a beautiful city known for its cool climate, breathtaking landscapes, and vibrant culture. Exploring Batu allowed me to experience a different side of Indonesia — from visiting its stunning natural attractions to tasting its delicious local foods. It was the perfect mix of adventure, learning, and cultural connection. </t>
  </si>
  <si>
    <t>México</t>
  </si>
  <si>
    <t>Carol Landeros Silva</t>
  </si>
  <si>
    <t xml:space="preserve">Economics </t>
  </si>
  <si>
    <t xml:space="preserve">International Business </t>
  </si>
  <si>
    <t>.</t>
  </si>
  <si>
    <t xml:space="preserve">Jeeps </t>
  </si>
  <si>
    <t>malaysia</t>
  </si>
  <si>
    <t>lim ee kee</t>
  </si>
  <si>
    <t xml:space="preserve">fkh </t>
  </si>
  <si>
    <t>Veterinary Medicine</t>
  </si>
  <si>
    <t>already perfect</t>
  </si>
  <si>
    <t>the second day we go cuban talun</t>
  </si>
  <si>
    <t>very fun, i hope i can join again like this activity hahaha</t>
  </si>
  <si>
    <t>Faculty of Veterinary Medicine</t>
  </si>
  <si>
    <t xml:space="preserve">Everything is great but I think it will be better if we can choose our own roommate </t>
  </si>
  <si>
    <t>Joining the Airlangga Cultural Immersion was a wonderful experience. I got to learn more about different cultures, meet new friends, and create unforgettable memories. I'm really grateful for the opportunity!</t>
  </si>
  <si>
    <t>NUR SAIEDATUR RAHMAH BINTI MOHD SHAHRIL</t>
  </si>
  <si>
    <t>FAKULTAS HUKUM</t>
  </si>
  <si>
    <t>LAW</t>
  </si>
  <si>
    <t>AMERTA 23</t>
  </si>
  <si>
    <t>im content and satisfied with the program (wish it could be longer)</t>
  </si>
  <si>
    <t>jeep rideeee</t>
  </si>
  <si>
    <t xml:space="preserve">im content and satisfied with the program </t>
  </si>
  <si>
    <t>Sharifah Insyirah bt Syed Zulkifli</t>
  </si>
  <si>
    <t>Fakultas Hukum</t>
  </si>
  <si>
    <t>Bachelor in Law</t>
  </si>
  <si>
    <t xml:space="preserve">Everything is well planned and the chosen activities were all fun. </t>
  </si>
  <si>
    <t xml:space="preserve">Jeep adventure and tubing in Kemuning. </t>
  </si>
  <si>
    <t xml:space="preserve">All activities were so fun and i truly enjoyed it. </t>
  </si>
  <si>
    <t>MALAYSIA</t>
  </si>
  <si>
    <t xml:space="preserve">MUHAMMAD AKID IZZ BIN ZULKIFLI </t>
  </si>
  <si>
    <t>FAKULTY OF LAW</t>
  </si>
  <si>
    <t xml:space="preserve">Law </t>
  </si>
  <si>
    <t>I think , students from across the country should be disperse randomly rather than stick with their own circle</t>
  </si>
  <si>
    <t>Tubing</t>
  </si>
  <si>
    <t>Airlangga Cultural Immersion 2025 SUPERB!</t>
  </si>
  <si>
    <t>Brunei Darussalam</t>
  </si>
  <si>
    <t xml:space="preserve">Alya Irdina Binti Mohamad Issyawady </t>
  </si>
  <si>
    <t>Fakultas Keperawatan/ Faculty of Psychology/ BIPA</t>
  </si>
  <si>
    <t>AMERTA</t>
  </si>
  <si>
    <t>The program was nice but i wish i could explore the city more and the life around the city</t>
  </si>
  <si>
    <t>Batik painting, Jeeping and Tubing</t>
  </si>
  <si>
    <t>I really enjoyed the trip although it was short. I enjoyed the company of friends and the staff was really helpful and friendly!!</t>
  </si>
  <si>
    <t>NURHANAN QISTINA BINTI MUHYIDDIN</t>
  </si>
  <si>
    <t>nothing. it’s the best.</t>
  </si>
  <si>
    <t xml:space="preserve">THE JEEP ADVENTURE </t>
  </si>
  <si>
    <t>probably the best ever. I had the most fun during the trip. Even though its such a short span but i never feels like want to go back home because i really really enjoy every minutes of the program. As simple as painting batik but i really enjoy it. The Pura Mangkunegaran got me amazed with how Indonesian really preserved the sacred tradition. The jeep adventure was sooooooooooooo funnnnnn even though i had bruises all over the body but the pain really worth it. All in all a big thanks to those who organizing the cultural immersion. Thank you for the memories. I’ll cherished it all my life and surely will never be forgotten. Thanks a lot Airlangga &lt;3</t>
  </si>
  <si>
    <t>Bruneian</t>
  </si>
  <si>
    <t>Nur Atiqah binti Abd. Aziz</t>
  </si>
  <si>
    <t>Faculty of Business and Economics</t>
  </si>
  <si>
    <t>Accounting and Finance</t>
  </si>
  <si>
    <t>It was really fun, I guess for future trips it would be helpful if the trips are not as rushed and I think in the future trips it would be nice if theres an activity to get to know the other (in my case, non-amerta students) since i think most of the time we're just within our own circles</t>
  </si>
  <si>
    <t>Jeep activity</t>
  </si>
  <si>
    <t xml:space="preserve">I think its a very interesting experience, I didnt expect the activities to really be engaging and challenging (fun challenging) and it really makes me get to know the culture and get closer with other AMERTA students. </t>
  </si>
  <si>
    <t xml:space="preserve">Malaysian </t>
  </si>
  <si>
    <t xml:space="preserve">Nur Aliah Natasha binti Mohd Hafiz </t>
  </si>
  <si>
    <t xml:space="preserve">Overall was tiptop but I think we need to extend to trip like 3 days and two nights so that we can do more activities and visit more other cultural areas </t>
  </si>
  <si>
    <t>I enjoy most every activities during the trip but the one very fun was the jeep riding!</t>
  </si>
  <si>
    <t>To start with, the information giving related to this programme were very details and structured so, it is easy to be followed. Following with the content of the programme itself, it was very fun and interesting! I got alot of new knowledge and bonding with my other friend especially everyone that I just met during the Amerta programme. In addition, all the food during the trip was very good and tasty which it mirror the food culture in Solo, Indonesia. Other than that, the hotel also were very cozy and good as the breakfast also included which makes me more satisfied with all the itinerary. 
All in all, everything was perfect!</t>
  </si>
  <si>
    <t>NURIN SYAHIRAH BINTI MOHD YUSRIZAL</t>
  </si>
  <si>
    <t>FACULTY OF LAW</t>
  </si>
  <si>
    <t xml:space="preserve">i feel like everything is perfect already i enjoyed it so muchhh </t>
  </si>
  <si>
    <t xml:space="preserve">I really really love the jeep adventure it was the most exiciting and the food was also amazingggg i love the whole trip actually </t>
  </si>
  <si>
    <t>First of all, the informations that i had receuved regarding this trip was very helpful, it was not confusing at all. Futhermore, the foods was really amazing all good foods. The help from the age team is also helpful and they are so so friendly and approachable if we are having problems. The hotel was also great. All in all thank you age for this trip! I really enjoyed it</t>
  </si>
  <si>
    <t xml:space="preserve">Nurdayini leiya faiqah </t>
  </si>
  <si>
    <t>none, its very great!</t>
  </si>
  <si>
    <t>jeep riding and tubing!!</t>
  </si>
  <si>
    <t>very great event, love the energy, the staffs are top notch and very helpful. do give them a raise for being so fun and caring 🤣 the activities are also well planned and is very fun, i look forward to having more events with AGE in the future. i learnt a lot about the royalties of solo, has some reallyyyy good solo es teh too! overall i gave it 10/10</t>
  </si>
  <si>
    <t>NUR IZZATUN NAJWA  AHMAD DAUD</t>
  </si>
  <si>
    <t>BACHELOR OF LAW</t>
  </si>
  <si>
    <t>IUP 2025</t>
  </si>
  <si>
    <t xml:space="preserve">everything was so good but it would be better in the future to have more and more activities </t>
  </si>
  <si>
    <t>Jeep (despite all the bruises I got)</t>
  </si>
  <si>
    <t xml:space="preserve">I think joining ACI 2025 was the best thing ever   where you can learn deeper into the culture, exploring the nature and creating new connections with other people!!! </t>
  </si>
  <si>
    <t>German</t>
  </si>
  <si>
    <t>Anna Marietta Mazur</t>
  </si>
  <si>
    <t>Humanities</t>
  </si>
  <si>
    <t>Languages and Cultures of Southeastasia</t>
  </si>
  <si>
    <t>Good time schedule considering delays such as traffic jam etc. Maybe more suggestions how to spend the evening in solo</t>
  </si>
  <si>
    <t>Jeep Tour</t>
  </si>
  <si>
    <t>Very fun trip, good organization</t>
  </si>
  <si>
    <t>Nur Huzaiffa Idha binti Hasmawi</t>
  </si>
  <si>
    <t>Law Faculty</t>
  </si>
  <si>
    <t>the program was so funn</t>
  </si>
  <si>
    <t>jeep adventure</t>
  </si>
  <si>
    <t>i had so much fun</t>
  </si>
  <si>
    <t>Irene Binti Awang Takoh</t>
  </si>
  <si>
    <t>FST, Psychology, Vocational</t>
  </si>
  <si>
    <t>Bachelor of Science, Biology</t>
  </si>
  <si>
    <t>i think the hotel rooms can be reduced to 3-4 people per room, so that the remaining budget can be used for other activities. other than that i think the committee or guides can prepare like a small mini microphone so that everyone can hear what the guide is saying and also maybe a translator (not for me but for friends who don’t speak bahasa) and also maybe a small first aid kit in the bus for minor inconvenience?</t>
  </si>
  <si>
    <t>water activities!! more please more and moreeeee</t>
  </si>
  <si>
    <t xml:space="preserve">i really enjoyed the whole trip but i wish it was longer!! surakarta is a really nice city with nice people and culture!! i wish we get to visit more places that shows the culture and tradition of the people is Solo + get to interact with them more. maybe next time you could arrange a three days (minimum) trip. bus ride was really nice as well, enough convenience for students and the whole program was well arranged for a two days trip. thanks to AGE team for the effort &amp; energy into arranging this, hope you guys have lots of rest, be blessed!! </t>
  </si>
  <si>
    <t>Sandrammaty Gopal</t>
  </si>
  <si>
    <t>Hubungan internasional</t>
  </si>
  <si>
    <t xml:space="preserve">Needs to bring us to batik outlets that cheaper and affordable and we just roaming around kampung laweyan for that time after the canvas session we can move to a batik outlets for us to purchase </t>
  </si>
  <si>
    <t>I enjoyed the jeep activity the most it give me a super cool feeling that day.</t>
  </si>
  <si>
    <t xml:space="preserve">Overall its good but somethings should be changed to be more better and make the trip valuable </t>
  </si>
  <si>
    <t>TUAN SARAH ZAHRAA BINTI TUAN ZAMRI</t>
  </si>
  <si>
    <t>good</t>
  </si>
  <si>
    <t>jeep</t>
  </si>
  <si>
    <t>it was so funnn</t>
  </si>
  <si>
    <t xml:space="preserve">MUHAMAD YUSOFF BIN KAMARUDIN </t>
  </si>
  <si>
    <t xml:space="preserve">International relations </t>
  </si>
  <si>
    <t>Maybe make the trip 3 days</t>
  </si>
  <si>
    <t>The water one</t>
  </si>
  <si>
    <t>Very fun</t>
  </si>
  <si>
    <t xml:space="preserve">MUHAMMAD DANISH IRFAN BIN MOHD ASRI </t>
  </si>
  <si>
    <t>FUHA</t>
  </si>
  <si>
    <t>It's already good but the bus need to be more bigger</t>
  </si>
  <si>
    <t xml:space="preserve">Water activity </t>
  </si>
  <si>
    <t xml:space="preserve">I so enjoy it and hope I can join this program in the future </t>
  </si>
  <si>
    <t xml:space="preserve">Nederlands </t>
  </si>
  <si>
    <t>Nirosha Raghenie Rosiek</t>
  </si>
  <si>
    <t>Psychology</t>
  </si>
  <si>
    <t>People and society</t>
  </si>
  <si>
    <t>Yes</t>
  </si>
  <si>
    <t xml:space="preserve">MALAYSIA </t>
  </si>
  <si>
    <t xml:space="preserve">Muhammad Danish Bin Mohd Haikel </t>
  </si>
  <si>
    <t xml:space="preserve">INTERNATIONAL RELATIONS </t>
  </si>
  <si>
    <t xml:space="preserve">I think what need to be improved is that you guys must do this kind of program a bit longer😜 or maybe ask for money so that we can go to another place. </t>
  </si>
  <si>
    <t xml:space="preserve">DOING CANTING Batik </t>
  </si>
  <si>
    <t xml:space="preserve">Thank you management team for manging this kind of program for us, it's mean a lot for us. </t>
  </si>
  <si>
    <t>SYAHIR ARIF SYAHMI BIN SAZALI</t>
  </si>
  <si>
    <t>HUBUNGAN INTERNASIONAL</t>
  </si>
  <si>
    <t>batik</t>
  </si>
  <si>
    <t>Good</t>
  </si>
  <si>
    <t>Danial Aizzad bin Jafridin</t>
  </si>
  <si>
    <t xml:space="preserve">International Relations </t>
  </si>
  <si>
    <t xml:space="preserve">All activities are really fun. We need longer to spend there. </t>
  </si>
  <si>
    <t xml:space="preserve">Jeep Tour </t>
  </si>
  <si>
    <t xml:space="preserve">Im really enjoy the trip!! </t>
  </si>
  <si>
    <t xml:space="preserve">NUR RAIHANA BINTI A MOHD RASHID </t>
  </si>
  <si>
    <t>BACHELOR OF LAWS</t>
  </si>
  <si>
    <t xml:space="preserve">The destinations should be changed to somewhere popular to visit. </t>
  </si>
  <si>
    <t>The jeep and water activity on second day</t>
  </si>
  <si>
    <t>Indian</t>
  </si>
  <si>
    <t>YASOTHA KRISHNAN</t>
  </si>
  <si>
    <t>We were not satisfied with the first day but the second day was really fun</t>
  </si>
  <si>
    <t>Jeep trip</t>
  </si>
  <si>
    <t xml:space="preserve">Im satisfied </t>
  </si>
  <si>
    <t xml:space="preserve">LISANTINI PERABAKARAN </t>
  </si>
  <si>
    <t>FSIP</t>
  </si>
  <si>
    <t>International Relations</t>
  </si>
  <si>
    <t>Selction of activities could be improved.</t>
  </si>
  <si>
    <t>Jeep adventure</t>
  </si>
  <si>
    <t>Overall i enjoyed this program and learned a bit about indonesian culture.</t>
  </si>
  <si>
    <t>MAALAYSIAN</t>
  </si>
  <si>
    <t>SUFI AWATIF BINTI SANI AMRIL</t>
  </si>
  <si>
    <t>The entire program, organized by Airlangga Global Engagement, was seamlessly executed. What stood out the most was the opportunity to connect with an incredibly diverse group of participants from all corners of the globe and, of course, the brilliant students from Airlangga University. The networking opportunities were invaluable, creating friendships and academic links that will last a lifetime. Highly recommend!</t>
  </si>
  <si>
    <t xml:space="preserve">Timor-Leste </t>
  </si>
  <si>
    <t xml:space="preserve">Feliciani Febryanti da Costa </t>
  </si>
  <si>
    <t xml:space="preserve">Postgraduate School </t>
  </si>
  <si>
    <t>Immunology</t>
  </si>
  <si>
    <t>ADS 2025</t>
  </si>
  <si>
    <t>Always maintain the way of serving as a committee and in the future perhaps the duration can be longer to introduce Indonesian culture to foreign students.</t>
  </si>
  <si>
    <t>I enjoyed all the activities. It's really very impressive.</t>
  </si>
  <si>
    <t>I got many friends from various countries and created a lot of togetherness from this event.</t>
  </si>
  <si>
    <t>sudanes</t>
  </si>
  <si>
    <t>fakultas ekonomi dan bisnis</t>
  </si>
  <si>
    <t>accounting First semester /Master's</t>
  </si>
  <si>
    <t>I think everything was wonderful, but there's one small thing I'd like to add: the trip was too short. If possible, it could be extended to a week or more. As for the services, they were excellent. Mr. Joshua and his team are fantastic, very helpful, and punctual. His trips are entertaining, educational, and beneficial, full of adventure, and of a very high standard. Thank you.</t>
  </si>
  <si>
    <t>all</t>
  </si>
  <si>
    <t>for the services, they were excellent. Mr. Joshua and his team are fantastic, very helpful, and punctual. His trips are entertaining, educational, and beneficial, full of adventure, and of a very high standard. Thank you.</t>
  </si>
  <si>
    <t>Pakistan</t>
  </si>
  <si>
    <t xml:space="preserve">Shafqat ali </t>
  </si>
  <si>
    <t xml:space="preserve">Political Science </t>
  </si>
  <si>
    <t>I think it's an amazing trip and the management is so good.</t>
  </si>
  <si>
    <t>All the activities are very amazing and joyful</t>
  </si>
  <si>
    <t xml:space="preserve">This was my first trip with AGE and its too good all the things are manage perfectly 🥰 </t>
  </si>
  <si>
    <t>Kaina Endrinal Quitaleg</t>
  </si>
  <si>
    <t>Faculty of Psychology</t>
  </si>
  <si>
    <t xml:space="preserve">BS PSYCHOLOGY </t>
  </si>
  <si>
    <t>I really loved the program and the activities prepared especially the one we did in Tretes.</t>
  </si>
  <si>
    <t>I enjoyed the short tour in chocolate factory as well as making a simple lollipop. I also enjoyed the outbound activities in Tretes.</t>
  </si>
  <si>
    <t>Joining this cultural immersion was a really nice experience that deepened my understanding of Indonesia's culture and traditions like making batik, knowing how to make salted egg and visiting chocolate factory. The program also allowed me to engage with the locals and fellow participants from around the world. I'm really greatful for the opportunity to learn and experience this kind of activity.</t>
  </si>
  <si>
    <t xml:space="preserve">Nigeria </t>
  </si>
  <si>
    <t>Usman Yahaya Garba</t>
  </si>
  <si>
    <t xml:space="preserve">Faculty of economics and business </t>
  </si>
  <si>
    <t xml:space="preserve">Management </t>
  </si>
  <si>
    <t>TIAS 2025</t>
  </si>
  <si>
    <t xml:space="preserve">Everything was well organized </t>
  </si>
  <si>
    <t>The activities I enjoyed the most were the outbound in Tretes and the visit to Coklat Majapahit both were super fun and unforgettable!!!</t>
  </si>
  <si>
    <t xml:space="preserve">Joining the Airlangga Cultural Immersion 2025 was truly special. I gained new friends, learned deeply about the culture, and created memories I’ll always treasure, it’s an unforgettable experience </t>
  </si>
  <si>
    <t xml:space="preserve">Pakistan </t>
  </si>
  <si>
    <t>Aqsa Ejaz</t>
  </si>
  <si>
    <t xml:space="preserve">Public health </t>
  </si>
  <si>
    <t xml:space="preserve">S2 public Health </t>
  </si>
  <si>
    <t>KNB 2025</t>
  </si>
  <si>
    <t>Due to warm weather some outdoor visits felt exhausting, which I believe could be improved by scheduling more shaded breaks and provide water at frequent intervals ,especially for longer periods outdoors under heat.</t>
  </si>
  <si>
    <t>I enjoyed both days activities. The balance of infield learning and outdoor fun was excellent.</t>
  </si>
  <si>
    <t>Joining AGE Cultural immersion Was a memorable journey.from visiting the salted egg processing facility and the chocolate making workshop to exploring archeological sites and engaging in out door activities every part of the trip deepened my understanding of Indonesian artisanal cultural and heritage.overall the immersion helped me build new friendships,expand my cultural awarness and challenge myself outside the classroom.i m grateful to the AGE team for organising such a rich experience.</t>
  </si>
  <si>
    <t>Surinamese</t>
  </si>
  <si>
    <t>Shellen Arga</t>
  </si>
  <si>
    <t>S2 Media dan Komunikasi</t>
  </si>
  <si>
    <t xml:space="preserve">I would like to compliment the AGE team for organizing a very well-structured, enjoyable, and smoothly managed trip. The logistics were handled excellently, and the program was packed and engaging. I truly enjoyed the experience. I also had the opportunity to connect with several students from other countries and to learn more about the local culture and history, which helped me understand the historical sites we visited even better. The food was very good, and the accommodation was comfortable.
Areas for Improvement:
- It was mentioned that we should bring our own water bottles, but I think it would be helpful if water could be provided daily during the trips. On the first day, we ran out of water after arriving in Mojokerto, and since the weather was very hot and the schedule was packed with consecutive activities, we didn’t have any water available. On the second day, during the outbound activities, water was only provided at the final session.
- The guide in Kampung Mojokerto could be improved. There was no structure whatsoever. She repeatedly asked us to “ask questions,” but when we did, her answers were brief and lacked detailed explanations about the kampung and the local way of living. (By contrast, the guide at Cokelat Majapahit was very knowledgeable and explained things well in both Bahasa Indonesia and English.)
- I did not expect such a large number of students to join. At times, it felt a bit crowded, and a short introduction of each group at the beginning would have been nice.
I hope this feedback will be implemented in the next trips. Overall, it was a very well-organized and enjoyable trip that I would definitely recommend. Thank youuu!                                                                                                                                                                                                                                                                                                                                                                                                                                                                                                                                                                                                                                                                                                                                                      </t>
  </si>
  <si>
    <t>The activities I enjoyed the most were batik making and visiting the chocolate factory. It was my second time making batik, and it went very well. I designed flowers, wrote my name, and it was such a nice gift to bring home. The activities at the chocolate factory were very well explained, well-structured, and fun. I learned about the history and the chocolate-making process; the practical part was super enjoyable, and of course, I loved buying and tasting their products. The ice cream was my favorite!</t>
  </si>
  <si>
    <t>Joining the Airlangga Cultural Immersion 2025 was a truly enriching experience. The program was well-organized, engaging, and offered a great opportunity to learn about local culture while connecting with students from different countries. I’m grateful to have been part of it.</t>
  </si>
  <si>
    <t>Iqra fatima</t>
  </si>
  <si>
    <t>Public health</t>
  </si>
  <si>
    <t xml:space="preserve">Please add some less spicy food please don’t take us outside in hot weather </t>
  </si>
  <si>
    <t xml:space="preserve">Morning exercise </t>
  </si>
  <si>
    <t xml:space="preserve">Less spicy food </t>
  </si>
  <si>
    <t>Asma suhail</t>
  </si>
  <si>
    <t>FKG unair</t>
  </si>
  <si>
    <t>Masters in dental medicine</t>
  </si>
  <si>
    <t>Everything was amazing just the issue was time i think it was little time and too many places and things to learn</t>
  </si>
  <si>
    <t>Batik and The last activity at royal hotel
Tretes</t>
  </si>
  <si>
    <t>Participating in Airlangga Cultural Immersion 2025 Batch I through Airlangga Global Engagement was a valuable opportunity to enhance my global competence. The program’s well-structured activities combined academic insights with hands-on cultural experiences, allowing me to understand Indonesia’s heritage and societal values in depth. It strengthened my intercultural awareness and encouraged me to become a more globally minded student and professional.</t>
  </si>
  <si>
    <t>Malawian</t>
  </si>
  <si>
    <t xml:space="preserve">Patience Kumbukani Sikelo </t>
  </si>
  <si>
    <t xml:space="preserve">Political and social sciences </t>
  </si>
  <si>
    <t xml:space="preserve">Public policy </t>
  </si>
  <si>
    <t xml:space="preserve">Better organisation especially for a large group. </t>
  </si>
  <si>
    <t xml:space="preserve">Coklat majapahit visit. The tour here we well detailed, planned and explained. </t>
  </si>
  <si>
    <t>NA</t>
  </si>
  <si>
    <t xml:space="preserve">Ni-Vanuatu </t>
  </si>
  <si>
    <t xml:space="preserve">Aicha Marcelline Wilson </t>
  </si>
  <si>
    <t xml:space="preserve">Economics and Business </t>
  </si>
  <si>
    <t xml:space="preserve">Accountancy </t>
  </si>
  <si>
    <t>Personally I would like to say that everything was outstanding and there’s no area that requires fixing</t>
  </si>
  <si>
    <t xml:space="preserve">I really enjoyed all the activities we did. </t>
  </si>
  <si>
    <t>Joining the Airlangga cultural immersion program was one of the most memorable and meaningful experiences I’ve ever had. It gave me the chance to explore some of the new places especially in Mojokerto and learn more about Indonesian culture, traditions, and daily life directly from the local community.
I really enjoyed meeting new people, trying traditional foods like the salted egg(both boiled &amp; smoked) and it taste really good, also learning local crafts, and visiting historical places that showed the rich heritage of Mojokerto. The kindness and hospitality of the local people made me feel very welcomed and part of their community.
Through this program, I not only gained knowledge about culture and language, but also developed deeper respect and appreciation for diversity. It helped me grow personally and opened my eyes to the importance of cultural understanding and friendship among nations. For me personally, I would like to say that visiting those historical places was a once in a lifetime opportunity for me as a Ni-Vanuatu. And for that I am truly thankful and appreciated all the organizing team and everyone who made this program possible. It is an experience that I will always treasure, remember and will never forget. And I will continue to encourage any Ni-Vanuatu students who will be here next. Once again Terima kasih.</t>
  </si>
  <si>
    <t xml:space="preserve">Filipino </t>
  </si>
  <si>
    <t xml:space="preserve">Wince Armel C. Manlogon </t>
  </si>
  <si>
    <t xml:space="preserve">Psychology </t>
  </si>
  <si>
    <t>I hope the program involved some more engaging activities and was held a little longer.</t>
  </si>
  <si>
    <t>I enjoyed the 2nd day were we had the activities with the other exhange students.</t>
  </si>
  <si>
    <t>was really fun!</t>
  </si>
  <si>
    <t>Vendor</t>
  </si>
  <si>
    <t>Hotel 38FrontOne Batu</t>
  </si>
  <si>
    <t>Venue</t>
  </si>
  <si>
    <t>Laritta</t>
  </si>
  <si>
    <t>RM. Joglo Batu</t>
  </si>
  <si>
    <t>Kaos</t>
  </si>
  <si>
    <t>Cititex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</si>
</sst>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Rp]#,##0"/>
  </numFmts>
  <fonts count="10" x14ac:knownFonts="1">
    <font>
      <sz val="10"/>
      <color rgb="FF000000"/>
      <name val="Arial"/>
      <scheme val="minor"/>
    </font>
    <font>
      <b/>
      <sz val="13"/>
      <color theme="1"/>
      <name val="Arial"/>
    </font>
    <font>
      <sz val="10"/>
      <name val="Arial"/>
    </font>
    <font>
      <sz val="10"/>
      <color theme="1"/>
      <name val="Arial"/>
    </font>
    <font>
      <b/>
      <sz val="10"/>
      <color theme="1"/>
      <name val="Arial"/>
    </font>
    <font>
      <u/>
      <sz val="10"/>
      <color rgb="FF0000FF"/>
      <name val="Arial"/>
    </font>
    <font>
      <u/>
      <sz val="10"/>
      <color rgb="FF0000FF"/>
      <name val="Arial"/>
    </font>
    <font>
      <sz val="10"/>
      <color theme="1"/>
      <name val="Arial"/>
      <scheme val="minor"/>
    </font>
    <font>
      <u/>
      <sz val="10"/>
      <color rgb="FF1155CC"/>
      <name val="Arial"/>
    </font>
    <font>
      <sz val="10"/>
      <color theme="1"/>
      <name val="Arial"/>
      <family val="2"/>
    </font>
  </fonts>
  <fills count="9">
    <fill>
      <patternFill patternType="none"/>
    </fill>
    <fill>
      <patternFill patternType="gray125"/>
    </fill>
    <fill>
      <patternFill patternType="solid">
        <fgColor rgb="FFE06666"/>
        <bgColor rgb="FFE06666"/>
      </patternFill>
    </fill>
    <fill>
      <patternFill patternType="solid">
        <fgColor rgb="FF00FF00"/>
        <bgColor rgb="FF00FF00"/>
      </patternFill>
    </fill>
    <fill>
      <patternFill patternType="solid">
        <fgColor rgb="FFD9EAD3"/>
        <bgColor rgb="FFD9EAD3"/>
      </patternFill>
    </fill>
    <fill>
      <patternFill patternType="solid">
        <fgColor rgb="FFD0E0E3"/>
        <bgColor rgb="FFD0E0E3"/>
      </patternFill>
    </fill>
    <fill>
      <patternFill patternType="solid">
        <fgColor rgb="FFFFFF00"/>
        <bgColor rgb="FFFFFF00"/>
      </patternFill>
    </fill>
    <fill>
      <patternFill patternType="solid">
        <fgColor rgb="FFFFFFFF"/>
        <bgColor rgb="FFFFFFFF"/>
      </patternFill>
    </fill>
    <fill>
      <patternFill patternType="solid">
        <fgColor rgb="FFF8F9FA"/>
        <bgColor rgb="FFF8F9FA"/>
      </patternFill>
    </fill>
  </fills>
  <borders count="2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284E3F"/>
      </left>
      <right style="thin">
        <color rgb="FFFFFFFF"/>
      </right>
      <top style="thin">
        <color rgb="FFFFFFFF"/>
      </top>
      <bottom style="thin">
        <color rgb="FFFFFFFF"/>
      </bottom>
      <diagonal/>
    </border>
    <border>
      <left style="thin">
        <color rgb="FFFFFF00"/>
      </left>
      <right style="thin">
        <color rgb="FFFFFF00"/>
      </right>
      <top style="thin">
        <color rgb="FFFFFF00"/>
      </top>
      <bottom style="thin">
        <color rgb="FFFFFF00"/>
      </bottom>
      <diagonal/>
    </border>
    <border>
      <left style="thin">
        <color rgb="FFFFFFFF"/>
      </left>
      <right style="thin">
        <color rgb="FFFFFFFF"/>
      </right>
      <top style="thin">
        <color rgb="FFFFFFFF"/>
      </top>
      <bottom style="thin">
        <color rgb="FFFFFFFF"/>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right style="thin">
        <color rgb="FF5B3F86"/>
      </right>
      <top/>
      <bottom/>
      <diagonal/>
    </border>
    <border>
      <left/>
      <right/>
      <top/>
      <bottom style="thin">
        <color rgb="FF5B3F86"/>
      </bottom>
      <diagonal/>
    </border>
    <border>
      <left/>
      <right style="thin">
        <color rgb="FF5B3F86"/>
      </right>
      <top/>
      <bottom style="thin">
        <color rgb="FF5B3F86"/>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65">
    <xf numFmtId="0" fontId="0" fillId="0" borderId="0" xfId="0"/>
    <xf numFmtId="164" fontId="3" fillId="0" borderId="0" xfId="0" applyNumberFormat="1" applyFont="1" applyAlignment="1">
      <alignment horizontal="center" vertical="center"/>
    </xf>
    <xf numFmtId="0" fontId="3" fillId="0" borderId="0" xfId="0" applyFont="1" applyAlignment="1">
      <alignment vertical="center"/>
    </xf>
    <xf numFmtId="164" fontId="3" fillId="0" borderId="0" xfId="0" applyNumberFormat="1" applyFont="1"/>
    <xf numFmtId="10" fontId="3" fillId="0" borderId="0" xfId="0" applyNumberFormat="1" applyFont="1"/>
    <xf numFmtId="164" fontId="3" fillId="0" borderId="0" xfId="0" applyNumberFormat="1" applyFont="1" applyAlignment="1">
      <alignment vertical="center"/>
    </xf>
    <xf numFmtId="0" fontId="3" fillId="0" borderId="0" xfId="0" applyFont="1" applyAlignment="1">
      <alignment vertical="center" wrapText="1"/>
    </xf>
    <xf numFmtId="0" fontId="4" fillId="2" borderId="4" xfId="0" applyFont="1" applyFill="1" applyBorder="1" applyAlignment="1">
      <alignment vertical="center"/>
    </xf>
    <xf numFmtId="164" fontId="4" fillId="2" borderId="4" xfId="0" applyNumberFormat="1" applyFont="1" applyFill="1" applyBorder="1" applyAlignment="1">
      <alignment vertical="center"/>
    </xf>
    <xf numFmtId="0" fontId="4" fillId="2" borderId="4" xfId="0" applyFont="1" applyFill="1" applyBorder="1" applyAlignment="1">
      <alignment vertical="center" wrapText="1"/>
    </xf>
    <xf numFmtId="164" fontId="4" fillId="3" borderId="4" xfId="0" applyNumberFormat="1" applyFont="1" applyFill="1" applyBorder="1" applyAlignment="1">
      <alignment horizontal="center" vertical="center"/>
    </xf>
    <xf numFmtId="0" fontId="4" fillId="0" borderId="4" xfId="0" applyFont="1" applyBorder="1" applyAlignment="1">
      <alignment horizontal="center" vertical="center"/>
    </xf>
    <xf numFmtId="164" fontId="4" fillId="0" borderId="4" xfId="0" applyNumberFormat="1" applyFont="1" applyBorder="1"/>
    <xf numFmtId="10" fontId="4" fillId="0" borderId="4" xfId="0" applyNumberFormat="1" applyFont="1" applyBorder="1"/>
    <xf numFmtId="0" fontId="4" fillId="0" borderId="4" xfId="0" applyFont="1" applyBorder="1"/>
    <xf numFmtId="0" fontId="4" fillId="0" borderId="0" xfId="0" applyFont="1"/>
    <xf numFmtId="0" fontId="3" fillId="0" borderId="4" xfId="0" applyFont="1" applyBorder="1" applyAlignment="1">
      <alignment vertical="center"/>
    </xf>
    <xf numFmtId="0" fontId="4" fillId="0" borderId="4" xfId="0" applyFont="1" applyBorder="1" applyAlignment="1">
      <alignment vertical="center"/>
    </xf>
    <xf numFmtId="164" fontId="3" fillId="0" borderId="4" xfId="0" applyNumberFormat="1" applyFont="1" applyBorder="1" applyAlignment="1">
      <alignment vertical="center"/>
    </xf>
    <xf numFmtId="0" fontId="3" fillId="0" borderId="4" xfId="0" applyFont="1" applyBorder="1" applyAlignment="1">
      <alignment vertical="center" wrapText="1"/>
    </xf>
    <xf numFmtId="164" fontId="3" fillId="0" borderId="4" xfId="0" applyNumberFormat="1" applyFont="1" applyBorder="1" applyAlignment="1">
      <alignment horizontal="center" vertical="center"/>
    </xf>
    <xf numFmtId="0" fontId="5" fillId="0" borderId="0" xfId="0" applyFont="1" applyAlignment="1">
      <alignment vertical="center"/>
    </xf>
    <xf numFmtId="0" fontId="3" fillId="0" borderId="0" xfId="0" applyFont="1"/>
    <xf numFmtId="0" fontId="4" fillId="0" borderId="4" xfId="0" applyFont="1" applyBorder="1" applyAlignment="1">
      <alignment vertical="center" wrapText="1"/>
    </xf>
    <xf numFmtId="0" fontId="6" fillId="0" borderId="0" xfId="0" applyFont="1"/>
    <xf numFmtId="164" fontId="4" fillId="4" borderId="4" xfId="0" applyNumberFormat="1" applyFont="1" applyFill="1" applyBorder="1" applyAlignment="1">
      <alignment vertical="center"/>
    </xf>
    <xf numFmtId="164" fontId="4" fillId="5" borderId="4" xfId="0" applyNumberFormat="1" applyFont="1" applyFill="1" applyBorder="1" applyAlignment="1">
      <alignment horizontal="center" vertical="center"/>
    </xf>
    <xf numFmtId="0" fontId="3" fillId="0" borderId="0" xfId="0" applyFont="1" applyAlignment="1">
      <alignment horizontal="left"/>
    </xf>
    <xf numFmtId="0" fontId="3" fillId="0" borderId="7" xfId="0" applyFont="1" applyBorder="1" applyAlignment="1">
      <alignment horizontal="left"/>
    </xf>
    <xf numFmtId="0" fontId="3" fillId="0" borderId="8" xfId="0" applyFont="1" applyBorder="1" applyAlignment="1">
      <alignment horizontal="left"/>
    </xf>
    <xf numFmtId="0" fontId="3" fillId="0" borderId="8" xfId="0" applyFont="1" applyBorder="1" applyAlignment="1">
      <alignment horizontal="left" vertical="center"/>
    </xf>
    <xf numFmtId="49" fontId="3" fillId="0" borderId="8" xfId="0" applyNumberFormat="1" applyFont="1" applyBorder="1" applyAlignment="1">
      <alignment horizontal="left" vertical="center"/>
    </xf>
    <xf numFmtId="0" fontId="3" fillId="0" borderId="9" xfId="0" applyFont="1" applyBorder="1"/>
    <xf numFmtId="0" fontId="3" fillId="6" borderId="10" xfId="0" applyFont="1" applyFill="1" applyBorder="1" applyAlignment="1">
      <alignment horizontal="left" vertical="center"/>
    </xf>
    <xf numFmtId="0" fontId="7" fillId="0" borderId="0" xfId="0" applyFont="1"/>
    <xf numFmtId="0" fontId="3" fillId="0" borderId="11" xfId="0" applyFont="1" applyBorder="1" applyAlignment="1">
      <alignment vertical="center"/>
    </xf>
    <xf numFmtId="0" fontId="3" fillId="0" borderId="12" xfId="0" applyFont="1" applyBorder="1"/>
    <xf numFmtId="0" fontId="3" fillId="0" borderId="13" xfId="0" applyFont="1" applyBorder="1" applyAlignment="1">
      <alignment vertical="center"/>
    </xf>
    <xf numFmtId="0" fontId="3" fillId="6" borderId="10" xfId="0" applyFont="1" applyFill="1" applyBorder="1" applyAlignment="1">
      <alignment vertical="center"/>
    </xf>
    <xf numFmtId="0" fontId="3" fillId="0" borderId="13" xfId="0" applyFont="1" applyBorder="1" applyAlignment="1">
      <alignment horizontal="left" vertical="center"/>
    </xf>
    <xf numFmtId="0" fontId="3" fillId="0" borderId="11" xfId="0" applyFont="1" applyBorder="1" applyAlignment="1">
      <alignment horizontal="left" vertical="center"/>
    </xf>
    <xf numFmtId="0" fontId="7" fillId="7" borderId="0" xfId="0" applyFont="1" applyFill="1" applyAlignment="1">
      <alignment vertical="center"/>
    </xf>
    <xf numFmtId="0" fontId="7" fillId="7" borderId="14" xfId="0" applyFont="1" applyFill="1" applyBorder="1" applyAlignment="1">
      <alignment vertical="center"/>
    </xf>
    <xf numFmtId="0" fontId="7" fillId="8" borderId="0" xfId="0" applyFont="1" applyFill="1" applyAlignment="1">
      <alignment vertical="center"/>
    </xf>
    <xf numFmtId="0" fontId="7" fillId="8" borderId="14" xfId="0" applyFont="1" applyFill="1" applyBorder="1" applyAlignment="1">
      <alignment vertical="center"/>
    </xf>
    <xf numFmtId="0" fontId="7" fillId="7" borderId="15" xfId="0" applyFont="1" applyFill="1" applyBorder="1" applyAlignment="1">
      <alignment vertical="center"/>
    </xf>
    <xf numFmtId="0" fontId="7" fillId="7" borderId="16" xfId="0" applyFont="1" applyFill="1" applyBorder="1" applyAlignment="1">
      <alignment vertical="center"/>
    </xf>
    <xf numFmtId="10" fontId="3" fillId="0" borderId="0" xfId="0" applyNumberFormat="1" applyFont="1"/>
    <xf numFmtId="0" fontId="0" fillId="0" borderId="0" xfId="0"/>
    <xf numFmtId="0" fontId="4" fillId="0" borderId="1" xfId="0" applyFont="1" applyBorder="1" applyAlignment="1">
      <alignment horizontal="right" vertical="center"/>
    </xf>
    <xf numFmtId="0" fontId="2" fillId="0" borderId="2" xfId="0" applyFont="1" applyBorder="1"/>
    <xf numFmtId="0" fontId="2" fillId="0" borderId="3" xfId="0" applyFont="1" applyBorder="1"/>
    <xf numFmtId="0" fontId="1" fillId="0" borderId="1" xfId="0" applyFont="1" applyBorder="1" applyAlignment="1">
      <alignment horizontal="center" vertical="center"/>
    </xf>
    <xf numFmtId="0" fontId="3" fillId="0" borderId="1" xfId="0" applyFont="1" applyBorder="1" applyAlignment="1">
      <alignment horizontal="center" vertical="center"/>
    </xf>
    <xf numFmtId="164" fontId="3" fillId="0" borderId="5" xfId="0" applyNumberFormat="1" applyFont="1" applyBorder="1" applyAlignment="1">
      <alignment horizontal="center" vertical="center"/>
    </xf>
    <xf numFmtId="0" fontId="2" fillId="0" borderId="6" xfId="0" applyFont="1" applyBorder="1"/>
    <xf numFmtId="0" fontId="5" fillId="0" borderId="0" xfId="0" applyFont="1" applyAlignment="1">
      <alignment vertical="center"/>
    </xf>
    <xf numFmtId="0" fontId="9" fillId="0" borderId="0" xfId="0" applyFont="1" applyAlignment="1">
      <alignment vertical="center"/>
    </xf>
    <xf numFmtId="0" fontId="9" fillId="0" borderId="4" xfId="0" applyFont="1" applyBorder="1" applyAlignment="1">
      <alignment vertical="center"/>
    </xf>
    <xf numFmtId="164" fontId="9" fillId="0" borderId="0" xfId="0" applyNumberFormat="1" applyFont="1" applyAlignment="1">
      <alignment vertical="center"/>
    </xf>
    <xf numFmtId="0" fontId="9" fillId="0" borderId="17" xfId="0" applyFont="1" applyBorder="1" applyAlignment="1">
      <alignment horizontal="center" vertical="center"/>
    </xf>
    <xf numFmtId="0" fontId="9" fillId="0" borderId="17" xfId="0" applyFont="1" applyBorder="1" applyAlignment="1">
      <alignment vertical="center"/>
    </xf>
    <xf numFmtId="164" fontId="9" fillId="0" borderId="17" xfId="0" applyNumberFormat="1" applyFont="1" applyBorder="1" applyAlignment="1">
      <alignment vertical="center"/>
    </xf>
    <xf numFmtId="0" fontId="9" fillId="0" borderId="18" xfId="0" applyFont="1" applyBorder="1" applyAlignment="1">
      <alignment horizontal="center" vertical="center"/>
    </xf>
    <xf numFmtId="0" fontId="9" fillId="0" borderId="19" xfId="0" applyFont="1" applyBorder="1" applyAlignment="1">
      <alignment horizontal="center" vertical="center"/>
    </xf>
  </cellXfs>
  <cellStyles count="1">
    <cellStyle name="Normal" xfId="0" builtinId="0"/>
  </cellStyles>
  <dxfs count="10">
    <dxf>
      <font>
        <b val="0"/>
        <i val="0"/>
        <strike val="0"/>
        <condense val="0"/>
        <extend val="0"/>
        <outline val="0"/>
        <shadow val="0"/>
        <u val="none"/>
        <vertAlign val="baseline"/>
        <sz val="10"/>
        <color theme="1"/>
        <name val="Arial"/>
        <scheme val="none"/>
      </font>
      <alignment horizontal="general" vertical="center" textRotation="0" wrapText="0" indent="0" justifyLastLine="0" shrinkToFit="0" readingOrder="0"/>
      <border diagonalUp="0" diagonalDown="0">
        <left style="thin">
          <color rgb="FFF6F8F9"/>
        </left>
        <right style="thin">
          <color rgb="FFF6F8F9"/>
        </right>
        <top style="thin">
          <color rgb="FFF6F8F9"/>
        </top>
        <bottom style="thin">
          <color rgb="FFF6F8F9"/>
        </bottom>
        <vertical/>
        <horizontal/>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3">
    <tableStyle name="Partisipan FIXED-style" pivot="0" count="3" xr9:uid="{00000000-0011-0000-FFFF-FFFF00000000}">
      <tableStyleElement type="headerRow" dxfId="9"/>
      <tableStyleElement type="firstRowStripe" dxfId="8"/>
      <tableStyleElement type="secondRowStripe" dxfId="7"/>
    </tableStyle>
    <tableStyle name="KAOS Fixed-style" pivot="0" count="3" xr9:uid="{00000000-0011-0000-FFFF-FFFF01000000}">
      <tableStyleElement type="headerRow" dxfId="6"/>
      <tableStyleElement type="firstRowStripe" dxfId="5"/>
      <tableStyleElement type="secondRowStripe" dxfId="4"/>
    </tableStyle>
    <tableStyle name="Hotel Pair-style" pivot="0" count="3" xr9:uid="{00000000-0011-0000-FFFF-FFFF02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styles" Target="styles.xml"/><Relationship Id="rId25" Type="http://schemas.microsoft.com/office/2017/06/relationships/rdRichValue" Target="richData/rdrichvalue.xml"/><Relationship Id="rId2" Type="http://schemas.openxmlformats.org/officeDocument/2006/relationships/worksheet" Target="worksheets/sheet2.xml"/><Relationship Id="rId20" Type="http://schemas.openxmlformats.org/officeDocument/2006/relationships/theme" Target="theme/theme1.xml"/><Relationship Id="rId29" Type="http://schemas.microsoft.com/office/2017/06/relationships/rdSupportingPropertyBagStructure" Target="richData/rdsupportingpropertybagstructure.xml"/><Relationship Id="rId1" Type="http://schemas.openxmlformats.org/officeDocument/2006/relationships/worksheet" Target="worksheets/sheet1.xml"/><Relationship Id="rId24" Type="http://schemas.microsoft.com/office/2020/07/relationships/rdRichValueWebImage" Target="richData/rdRichValueWebImage.xml"/><Relationship Id="rId32" Type="http://schemas.openxmlformats.org/officeDocument/2006/relationships/calcChain" Target="calcChain.xml"/><Relationship Id="rId23" Type="http://schemas.openxmlformats.org/officeDocument/2006/relationships/sheetMetadata" Target="metadata.xml"/><Relationship Id="rId28" Type="http://schemas.microsoft.com/office/2017/06/relationships/richStyles" Target="richData/richStyles.xml"/><Relationship Id="rId19" Type="http://customschemas.google.com/relationships/workbookmetadata" Target="metadata"/><Relationship Id="rId31" Type="http://schemas.microsoft.com/office/2017/06/relationships/rdRichValueTypes" Target="richData/rdRichValueTypes.xml"/><Relationship Id="rId4" Type="http://schemas.openxmlformats.org/officeDocument/2006/relationships/worksheet" Target="worksheets/sheet4.xml"/><Relationship Id="rId22" Type="http://schemas.openxmlformats.org/officeDocument/2006/relationships/sharedStrings" Target="sharedStrings.xml"/><Relationship Id="rId27" Type="http://schemas.microsoft.com/office/2017/06/relationships/rdArray" Target="richData/rdarray.xml"/><Relationship Id="rId30" Type="http://schemas.microsoft.com/office/2017/06/relationships/rdSupportingPropertyBag" Target="richData/rdsupportingpropertybag.xml"/></Relationships>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Poland" TargetMode="External"/><Relationship Id="rId13" Type="http://schemas.openxmlformats.org/officeDocument/2006/relationships/hyperlink" Target="https://www.bing.com/th?id=OSK.1945c491840329c0b1ca2efe48783b76&amp;qlt=95" TargetMode="External"/><Relationship Id="rId18" Type="http://schemas.openxmlformats.org/officeDocument/2006/relationships/hyperlink" Target="https://www.bing.com/images/search?form=xlimg&amp;q=Botswana" TargetMode="External"/><Relationship Id="rId26" Type="http://schemas.openxmlformats.org/officeDocument/2006/relationships/hyperlink" Target="https://www.bing.com/images/search?form=xlimg&amp;q=Zimbabwe" TargetMode="External"/><Relationship Id="rId3" Type="http://schemas.openxmlformats.org/officeDocument/2006/relationships/hyperlink" Target="https://www.bing.com/th?id=OSK.b890dc74fd4afb933e25d3b3dbb56738&amp;qlt=95" TargetMode="External"/><Relationship Id="rId21" Type="http://schemas.openxmlformats.org/officeDocument/2006/relationships/hyperlink" Target="https://www.bing.com/th?id=OSK.dbd0d76df4bf7fb91868959fa5adfe0b&amp;qlt=95" TargetMode="External"/><Relationship Id="rId7" Type="http://schemas.openxmlformats.org/officeDocument/2006/relationships/hyperlink" Target="https://www.bing.com/th?id=OSK.Rw9R7_XRbNPTW-15ywOXGe4gsOm7SdnfvtVIthQV0Lo&amp;qlt=95" TargetMode="External"/><Relationship Id="rId12" Type="http://schemas.openxmlformats.org/officeDocument/2006/relationships/hyperlink" Target="https://www.bing.com/images/search?form=xlimg&amp;q=Philippines" TargetMode="External"/><Relationship Id="rId17" Type="http://schemas.openxmlformats.org/officeDocument/2006/relationships/hyperlink" Target="https://www.bing.com/th?id=OSK.wOEE2XpZ-M_pGh9xjx31VbxK_LaumUmHIvmT8HlRZSE&amp;qlt=95" TargetMode="External"/><Relationship Id="rId25" Type="http://schemas.openxmlformats.org/officeDocument/2006/relationships/hyperlink" Target="https://www.bing.com/th?id=OSK.cdc4215938ab2bdf073e68041184cde2&amp;qlt=95" TargetMode="External"/><Relationship Id="rId2" Type="http://schemas.openxmlformats.org/officeDocument/2006/relationships/hyperlink" Target="https://www.bing.com/images/search?form=xlimg&amp;q=Brunei" TargetMode="External"/><Relationship Id="rId16" Type="http://schemas.openxmlformats.org/officeDocument/2006/relationships/hyperlink" Target="https://www.bing.com/images/search?form=xlimg&amp;q=Malawi" TargetMode="External"/><Relationship Id="rId20" Type="http://schemas.openxmlformats.org/officeDocument/2006/relationships/hyperlink" Target="https://www.bing.com/images/search?form=xlimg&amp;q=Nigeria" TargetMode="External"/><Relationship Id="rId29" Type="http://schemas.openxmlformats.org/officeDocument/2006/relationships/hyperlink" Target="https://www.bing.com/th?id=OSK.o5e1TNhMpThUX2PpIEgTRVV8QhuV3sAqMPZ61Yktj0A&amp;qlt=95" TargetMode="External"/><Relationship Id="rId1" Type="http://schemas.openxmlformats.org/officeDocument/2006/relationships/hyperlink" Target="https://www.bing.com/th?id=OSK.68c71e7da16eab0ac40b8fa8094ecf2a&amp;qlt=95" TargetMode="External"/><Relationship Id="rId6" Type="http://schemas.openxmlformats.org/officeDocument/2006/relationships/hyperlink" Target="https://www.bing.com/images/search?form=xlimg&amp;q=Cambodia" TargetMode="External"/><Relationship Id="rId11" Type="http://schemas.openxmlformats.org/officeDocument/2006/relationships/hyperlink" Target="https://www.bing.com/th?id=OSK.36814bc4f80599a6b95860a3cb97cc46&amp;qlt=95" TargetMode="External"/><Relationship Id="rId24" Type="http://schemas.openxmlformats.org/officeDocument/2006/relationships/hyperlink" Target="https://www.bing.com/images/search?form=xlimg&amp;q=Mozambique" TargetMode="External"/><Relationship Id="rId32" Type="http://schemas.openxmlformats.org/officeDocument/2006/relationships/hyperlink" Target="https://www.bing.com/images/search?form=xlimg&amp;q=Oman" TargetMode="External"/><Relationship Id="rId5" Type="http://schemas.openxmlformats.org/officeDocument/2006/relationships/hyperlink" Target="https://www.bing.com/th?id=OSK.190869d5f56ce619438ab2510a31c189&amp;qlt=95" TargetMode="External"/><Relationship Id="rId15" Type="http://schemas.openxmlformats.org/officeDocument/2006/relationships/hyperlink" Target="https://www.bing.com/th?id=OSK.be9bf8d1fb89700eaaa6052d0f8dc6be&amp;qlt=95" TargetMode="External"/><Relationship Id="rId23" Type="http://schemas.openxmlformats.org/officeDocument/2006/relationships/hyperlink" Target="https://www.bing.com/th?id=OSK.a018667e848b997406b0f100e728e406&amp;qlt=95" TargetMode="External"/><Relationship Id="rId28" Type="http://schemas.openxmlformats.org/officeDocument/2006/relationships/hyperlink" Target="https://www.bing.com/images/search?form=xlimg&amp;q=Kenya" TargetMode="External"/><Relationship Id="rId10" Type="http://schemas.openxmlformats.org/officeDocument/2006/relationships/hyperlink" Target="https://www.bing.com/images/search?form=xlimg&amp;q=France" TargetMode="External"/><Relationship Id="rId19" Type="http://schemas.openxmlformats.org/officeDocument/2006/relationships/hyperlink" Target="https://www.bing.com/th?id=OSK.rqhhPC8adwulZ6C0cvIbHAvsVxm3BL1u7Ef5umuBQjA&amp;qlt=95" TargetMode="External"/><Relationship Id="rId31" Type="http://schemas.openxmlformats.org/officeDocument/2006/relationships/hyperlink" Target="https://www.bing.com/th?id=OSK.b465c15922af24d6bdd07092a1bf9651&amp;qlt=95" TargetMode="External"/><Relationship Id="rId4" Type="http://schemas.openxmlformats.org/officeDocument/2006/relationships/hyperlink" Target="https://www.bing.com/images/search?form=xlimg&amp;q=Mexico" TargetMode="External"/><Relationship Id="rId9" Type="http://schemas.openxmlformats.org/officeDocument/2006/relationships/hyperlink" Target="https://www.bing.com/th?id=OSK.OAaXqI8zMa-EVN-oP1TBa3c37-igmn6hk9cYPRlEuUg&amp;qlt=95" TargetMode="External"/><Relationship Id="rId14" Type="http://schemas.openxmlformats.org/officeDocument/2006/relationships/hyperlink" Target="https://www.bing.com/images/search?form=xlimg&amp;q=Pakistan" TargetMode="External"/><Relationship Id="rId22" Type="http://schemas.openxmlformats.org/officeDocument/2006/relationships/hyperlink" Target="https://www.bing.com/images/search?form=xlimg&amp;q=Myanmar" TargetMode="External"/><Relationship Id="rId27" Type="http://schemas.openxmlformats.org/officeDocument/2006/relationships/hyperlink" Target="https://www.bing.com/th?id=OSK.9916e6d9585670a5c7077c9d73381888&amp;qlt=95" TargetMode="External"/><Relationship Id="rId30" Type="http://schemas.openxmlformats.org/officeDocument/2006/relationships/hyperlink" Target="https://www.bing.com/images/search?form=xlimg&amp;q=Yemen"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Srd>
</file>

<file path=xl/richData/rdarray.xml><?xml version="1.0" encoding="utf-8"?>
<arrayData xmlns="http://schemas.microsoft.com/office/spreadsheetml/2017/richdata2" count="61">
  <a r="1">
    <v t="r">20</v>
  </a>
  <a r="1">
    <v t="s">Malay</v>
  </a>
  <a r="4">
    <v t="r">30</v>
    <v t="r">31</v>
    <v t="r">32</v>
    <v t="r">33</v>
  </a>
  <a r="1">
    <v t="s">Asia/Brunei</v>
  </a>
  <a r="2">
    <v t="r">60</v>
    <v t="r">61</v>
  </a>
  <a r="1">
    <v t="s">Mexican Spanish</v>
  </a>
  <a r="32">
    <v t="r">46</v>
    <v t="r">80</v>
    <v t="r">81</v>
    <v t="r">82</v>
    <v t="r">83</v>
    <v t="r">84</v>
    <v t="r">85</v>
    <v t="r">86</v>
    <v t="r">87</v>
    <v t="r">88</v>
    <v t="r">89</v>
    <v t="r">90</v>
    <v t="r">91</v>
    <v t="r">92</v>
    <v t="r">93</v>
    <v t="r">94</v>
    <v t="r">95</v>
    <v t="r">96</v>
    <v t="r">97</v>
    <v t="r">98</v>
    <v t="r">99</v>
    <v t="r">100</v>
    <v t="r">101</v>
    <v t="r">102</v>
    <v t="r">103</v>
    <v t="r">104</v>
    <v t="r">105</v>
    <v t="r">106</v>
    <v t="r">107</v>
    <v t="r">108</v>
    <v t="r">109</v>
    <v t="r">110</v>
  </a>
  <a r="4">
    <v t="s">Central Time Zone</v>
    <v t="s">Mountain Time Zone</v>
    <v t="s">Pacific Time Zone</v>
    <v t="s">Eastern Time Zone</v>
  </a>
  <a r="2">
    <v t="r">138</v>
    <v t="r">139</v>
  </a>
  <a r="1">
    <v t="s">Khmer language</v>
  </a>
  <a r="23">
    <v t="r">149</v>
    <v t="r">150</v>
    <v t="r">151</v>
    <v t="r">152</v>
    <v t="r">153</v>
    <v t="r">154</v>
    <v t="r">155</v>
    <v t="r">156</v>
    <v t="r">157</v>
    <v t="r">158</v>
    <v t="r">159</v>
    <v t="r">160</v>
    <v t="r">161</v>
    <v t="r">162</v>
    <v t="r">163</v>
    <v t="r">164</v>
    <v t="r">165</v>
    <v t="r">166</v>
    <v t="r">167</v>
    <v t="r">168</v>
    <v t="r">169</v>
    <v t="r">170</v>
    <v t="r">124</v>
  </a>
  <a r="1">
    <v t="s">Asia/Phnom_Penh</v>
  </a>
  <a r="2">
    <v t="r">197</v>
    <v t="r">198</v>
  </a>
  <a r="1">
    <v t="s">Polish language</v>
  </a>
  <a r="16">
    <v t="r">217</v>
    <v t="r">218</v>
    <v t="r">219</v>
    <v t="r">220</v>
    <v t="r">221</v>
    <v t="r">222</v>
    <v t="r">223</v>
    <v t="r">224</v>
    <v t="r">225</v>
    <v t="r">226</v>
    <v t="r">227</v>
    <v t="r">228</v>
    <v t="r">229</v>
    <v t="r">230</v>
    <v t="r">231</v>
    <v t="r">232</v>
  </a>
  <a r="4">
    <v t="s">Central European Time</v>
    <v t="s">UTC+02:00</v>
    <v t="s">UTC+01:00</v>
    <v t="s">Central European Summer Time</v>
  </a>
  <a r="2">
    <v t="r">260</v>
    <v t="r">261</v>
  </a>
  <a r="1">
    <v t="s">French language</v>
  </a>
  <a r="25">
    <v t="r">279</v>
    <v t="r">280</v>
    <v t="r">281</v>
    <v t="r">282</v>
    <v t="r">283</v>
    <v t="r">284</v>
    <v t="r">285</v>
    <v t="r">286</v>
    <v t="r">287</v>
    <v t="r">288</v>
    <v t="r">289</v>
    <v t="r">290</v>
    <v t="r">291</v>
    <v t="r">292</v>
    <v t="r">293</v>
    <v t="r">294</v>
    <v t="r">295</v>
    <v t="r">296</v>
    <v t="r">297</v>
    <v t="r">298</v>
    <v t="r">299</v>
    <v t="r">300</v>
    <v t="r">301</v>
    <v t="r">302</v>
    <v t="r">303</v>
  </a>
  <a r="1">
    <v t="s">Central European Time</v>
  </a>
  <a r="4">
    <v t="r">332</v>
    <v t="r">333</v>
    <v t="r">334</v>
    <v t="r">335</v>
  </a>
  <a r="2">
    <v t="s">Philippine English</v>
    <v t="s">Filipino language</v>
  </a>
  <a r="1">
    <v t="r">353</v>
  </a>
  <a r="1">
    <v t="s">Philippine Standard Time</v>
  </a>
  <a r="2">
    <v t="r">382</v>
    <v t="r">383</v>
  </a>
  <a r="2">
    <v t="s">Pakistani English</v>
    <v t="s">Urdu</v>
  </a>
  <a r="7">
    <v t="r">402</v>
    <v t="r">403</v>
    <v t="r">404</v>
    <v t="r">405</v>
    <v t="r">406</v>
    <v t="r">407</v>
    <v t="r">408</v>
  </a>
  <a r="1">
    <v t="s">UTC+05:00</v>
  </a>
  <a r="4">
    <v t="r">434</v>
    <v t="r">435</v>
    <v t="r">436</v>
    <v t="r">437</v>
  </a>
  <a r="1">
    <v t="s">English language</v>
  </a>
  <a r="1">
    <v t="s">Africa/Blantyre</v>
  </a>
  <a r="2">
    <v t="r">480</v>
    <v t="r">481</v>
  </a>
  <a r="9">
    <v t="r">498</v>
    <v t="r">499</v>
    <v t="r">500</v>
    <v t="r">501</v>
    <v t="r">502</v>
    <v t="r">503</v>
    <v t="r">504</v>
    <v t="r">505</v>
    <v t="r">506</v>
  </a>
  <a r="2">
    <v t="s">Central Africa Time</v>
    <v t="s">Africa/Gaborone</v>
  </a>
  <a r="4">
    <v t="r">535</v>
    <v t="r">536</v>
    <v t="r">537</v>
    <v t="r">538</v>
  </a>
  <a r="1">
    <v t="s">Nigerian English</v>
  </a>
  <a r="37">
    <v t="r">555</v>
    <v t="r">556</v>
    <v t="r">557</v>
    <v t="r">558</v>
    <v t="r">559</v>
    <v t="r">560</v>
    <v t="r">561</v>
    <v t="r">562</v>
    <v t="r">563</v>
    <v t="r">564</v>
    <v t="r">565</v>
    <v t="r">566</v>
    <v t="r">567</v>
    <v t="r">568</v>
    <v t="r">569</v>
    <v t="r">570</v>
    <v t="r">571</v>
    <v t="r">572</v>
    <v t="r">573</v>
    <v t="r">574</v>
    <v t="r">575</v>
    <v t="r">576</v>
    <v t="r">577</v>
    <v t="r">578</v>
    <v t="r">579</v>
    <v t="r">580</v>
    <v t="r">581</v>
    <v t="r">582</v>
    <v t="r">583</v>
    <v t="r">584</v>
    <v t="r">585</v>
    <v t="r">586</v>
    <v t="r">587</v>
    <v t="r">588</v>
    <v t="r">589</v>
    <v t="r">590</v>
    <v t="r">591</v>
  </a>
  <a r="1">
    <v t="s">West Africa Time</v>
  </a>
  <a r="2">
    <v t="r">618</v>
    <v t="r">619</v>
  </a>
  <a r="1">
    <v t="s">Burmese language</v>
  </a>
  <a r="14">
    <v t="r">634</v>
    <v t="r">635</v>
    <v t="r">636</v>
    <v t="r">637</v>
    <v t="r">638</v>
    <v t="r">639</v>
    <v t="r">640</v>
    <v t="r">641</v>
    <v t="r">642</v>
    <v t="r">643</v>
    <v t="r">644</v>
    <v t="r">645</v>
    <v t="r">646</v>
    <v t="r">647</v>
  </a>
  <a r="1">
    <v t="s">UTC+06:30</v>
  </a>
  <a r="2">
    <v t="r">675</v>
    <v t="r">676</v>
  </a>
  <a r="1">
    <v t="s">Portuguese language</v>
  </a>
  <a r="11">
    <v t="r">694</v>
    <v t="r">695</v>
    <v t="r">696</v>
    <v t="r">697</v>
    <v t="r">661</v>
    <v t="r">698</v>
    <v t="r">699</v>
    <v t="r">700</v>
    <v t="r">701</v>
    <v t="r">702</v>
    <v t="r">703</v>
  </a>
  <a r="1">
    <v t="s">Africa/Maputo</v>
  </a>
  <a r="2">
    <v t="r">731</v>
    <v t="r">732</v>
  </a>
  <a r="16">
    <v t="s">Ndebele</v>
    <v t="s">Chibarwe</v>
    <v t="s">Sotho</v>
    <v t="s">Kalanga</v>
    <v t="s">English</v>
    <v t="s">Shona</v>
    <v t="s">Venda</v>
    <v t="s">Zimbabwean sign language</v>
    <v t="s">Nambya</v>
    <v t="s">Tonga</v>
    <v t="s">Chewa</v>
    <v t="s">Xhosa</v>
    <v t="s">Tswana</v>
    <v t="s">Khoisan</v>
    <v t="s">Shangani</v>
    <v t="s">Ndau</v>
  </a>
  <a r="9">
    <v t="r">749</v>
    <v t="r">750</v>
    <v t="r">751</v>
    <v t="r">752</v>
    <v t="r">753</v>
    <v t="r">754</v>
    <v t="r">755</v>
    <v t="r">756</v>
    <v t="r">757</v>
  </a>
  <a r="1">
    <v t="s">Africa/Harare</v>
  </a>
  <a r="2">
    <v t="r">785</v>
    <v t="r">786</v>
  </a>
  <a r="2">
    <v t="s">English language</v>
    <v t="s">Swahili</v>
  </a>
  <a r="1">
    <v t="r">804</v>
  </a>
  <a r="1">
    <v t="s">Africa/Nairobi</v>
  </a>
  <a r="2">
    <v t="r">832</v>
    <v t="r">833</v>
  </a>
  <a r="1">
    <v t="s">Modern Standard Arabic</v>
  </a>
  <a r="20">
    <v t="r">850</v>
    <v t="r">851</v>
    <v t="r">852</v>
    <v t="r">853</v>
    <v t="r">854</v>
    <v t="r">855</v>
    <v t="r">856</v>
    <v t="r">857</v>
    <v t="r">858</v>
    <v t="r">859</v>
    <v t="r">860</v>
    <v t="r">861</v>
    <v t="r">862</v>
    <v t="r">863</v>
    <v t="r">864</v>
    <v t="r">865</v>
    <v t="r">866</v>
    <v t="r">867</v>
    <v t="r">868</v>
    <v t="r">869</v>
  </a>
  <a r="1">
    <v t="s">Asia/Aden</v>
  </a>
  <a r="1">
    <v t="r">895</v>
  </a>
  <a r="11">
    <v t="r">906</v>
    <v t="r">907</v>
    <v t="r">908</v>
    <v t="r">909</v>
    <v t="r">910</v>
    <v t="r">911</v>
    <v t="r">912</v>
    <v t="r">913</v>
    <v t="r">914</v>
    <v t="r">915</v>
    <v t="r">916</v>
  </a>
  <a r="1">
    <v t="s">Asia/Muscat</v>
  </a>
</arrayData>
</file>

<file path=xl/richData/rdrichvalue.xml><?xml version="1.0" encoding="utf-8"?>
<rvData xmlns="http://schemas.microsoft.com/office/spreadsheetml/2017/richdata" count="924">
  <rv s="0">
    <v>536870912</v>
    <v>Brunei</v>
    <v>dde316d9-cf10-398d-ffd9-1c4cd798a523</v>
    <v>en-ID</v>
    <v>Map</v>
  </rv>
  <rv s="1">
    <fb>2.7324477454516698E-2</fb>
    <v>23</v>
  </rv>
  <rv s="1">
    <fb>5765.3135329999996</fb>
    <v>24</v>
  </rv>
  <rv s="1">
    <fb>8000</fb>
    <v>24</v>
  </rv>
  <rv s="1">
    <fb>14.896000000000001</fb>
    <v>25</v>
  </rv>
  <rv s="1">
    <fb>673</fb>
    <v>26</v>
  </rv>
  <rv s="0">
    <v>536870912</v>
    <v>Bandar Seri Begawan</v>
    <v>69c8e4a9-7d7e-a7a8-0d16-83e7c1620441</v>
    <v>en-ID</v>
    <v>Map</v>
  </rv>
  <rv s="1">
    <fb>7664.03</fb>
    <v>24</v>
  </rv>
  <rv s="1">
    <fb>99.026816572106597</fb>
    <v>27</v>
  </rv>
  <rv s="1">
    <fb>-3.90522069165492E-3</fb>
    <v>23</v>
  </rv>
  <rv s="1">
    <fb>10291.164046084499</fb>
    <v>24</v>
  </rv>
  <rv s="1">
    <fb>1.8480000000000001</fb>
    <v>25</v>
  </rv>
  <rv s="1">
    <fb>0.72106261859582499</fb>
    <v>23</v>
  </rv>
  <rv s="1">
    <fb>99.995188469885605</fb>
    <v>28</v>
  </rv>
  <rv s="1">
    <fb>0.37</fb>
    <v>29</v>
  </rv>
  <rv s="1">
    <fb>13469422941.391899</fb>
    <v>30</v>
  </rv>
  <rv s="1">
    <fb>1.0315162</fb>
    <v>23</v>
  </rv>
  <rv s="1">
    <fb>0.31392579999999998</fb>
    <v>23</v>
  </rv>
  <rv s="2">
    <v>0</v>
    <v>21</v>
    <v>2</v>
    <v>7</v>
    <v>0</v>
    <v>Image of Brunei</v>
  </rv>
  <rv s="1">
    <fb>9.8000000000000007</fb>
    <v>28</v>
  </rv>
  <rv s="0">
    <v>805306368</v>
    <v>Hassanal Bolkiah (Prime minister)</v>
    <v>6b9258af-d724-efe1-f49a-a65df912038b</v>
    <v>en-ID</v>
    <v>Generic</v>
  </rv>
  <rv s="3">
    <v>0</v>
  </rv>
  <rv s="4">
    <v>https://www.bing.com/search?q=brunei&amp;form=skydnc</v>
    <v>Learn more on Bing</v>
  </rv>
  <rv s="1">
    <fb>75.721999999999994</fb>
    <v>28</v>
  </rv>
  <rv s="1">
    <fb>31</fb>
    <v>28</v>
  </rv>
  <rv s="3">
    <v>1</v>
  </rv>
  <rv s="1">
    <fb>6.0119631E-2</fb>
    <v>23</v>
  </rv>
  <rv s="1">
    <fb>1.609</fb>
    <v>25</v>
  </rv>
  <rv s="1">
    <fb>498766</fb>
    <v>24</v>
  </rv>
  <rv s="1">
    <fb>0.64678001403808594</fb>
    <v>23</v>
  </rv>
  <rv s="0">
    <v>536870912</v>
    <v>Belait District</v>
    <v>2556f0e1-d2ef-f34a-7d2b-203798d09ed4</v>
    <v>en-ID</v>
    <v>Map</v>
  </rv>
  <rv s="0">
    <v>536870912</v>
    <v>Brunei–Muara District</v>
    <v>b6c13f5e-4b6e-d9fb-0481-ea499518ed7d</v>
    <v>en-ID</v>
    <v>Map</v>
  </rv>
  <rv s="0">
    <v>536870912</v>
    <v>Temburong District</v>
    <v>66ea33cd-31e3-55ec-e6f0-49ca01d7a004</v>
    <v>en-ID</v>
    <v>Map</v>
  </rv>
  <rv s="0">
    <v>536870912</v>
    <v>Tutong District</v>
    <v>9360ebc0-b1cf-8937-52c0-5278ac08b670</v>
    <v>en-ID</v>
    <v>Map</v>
  </rv>
  <rv s="3">
    <v>2</v>
  </rv>
  <rv s="3">
    <v>3</v>
  </rv>
  <rv s="1">
    <fb>0.08</fb>
    <v>23</v>
  </rv>
  <rv s="1">
    <fb>9.1169996261596692E-2</fb>
    <v>31</v>
  </rv>
  <rv s="1">
    <fb>337711</fb>
    <v>24</v>
  </rv>
  <rv s="5">
    <v>#VALUE!</v>
    <v>en-ID</v>
    <v>dde316d9-cf10-398d-ffd9-1c4cd798a523</v>
    <v>536870912</v>
    <v>1</v>
    <v>16</v>
    <v>17</v>
    <v>Brunei</v>
    <v>19</v>
    <v>20</v>
    <v>Map</v>
    <v>21</v>
    <v>22</v>
    <v>BN</v>
    <v>1</v>
    <v>2</v>
    <v>3</v>
    <v>4</v>
    <v>5</v>
    <v>6</v>
    <v>7</v>
    <v>8</v>
    <v>9</v>
    <v>BND</v>
    <v>Brunei, officially Brunei Darussalam, is a country in Southeast Asia, situated on the northern coast of the island of Borneo. Apart from its coastline on the South China Sea, it is completely surrounded by the Malaysian state of Sarawak, with ...</v>
    <v>10</v>
    <v>11</v>
    <v>12</v>
    <v>13</v>
    <v>14</v>
    <v>15</v>
    <v>16</v>
    <v>17</v>
    <v>18</v>
    <v>19</v>
    <v>6</v>
    <v>21</v>
    <v>22</v>
    <v>23</v>
    <v>24</v>
    <v>Brunei</v>
    <v>Allah Peliharakan Sultan</v>
    <v>25</v>
    <v>le Brunei Darussalam</v>
    <v>26</v>
    <v>27</v>
    <v>28</v>
    <v>29</v>
    <v>34</v>
    <v>35</v>
    <v>36</v>
    <v>37</v>
    <v>Brunei</v>
    <v>38</v>
    <v>mdp/vdpid/37</v>
  </rv>
  <rv s="0">
    <v>536870912</v>
    <v>Mexico</v>
    <v>8e475659-4bdc-d912-6494-affce0096bc1</v>
    <v>en-ID</v>
    <v>Map</v>
  </rv>
  <rv s="1">
    <fb>0.54649553743666202</fb>
    <v>23</v>
  </rv>
  <rv s="1">
    <fb>1972550</fb>
    <v>24</v>
  </rv>
  <rv s="1">
    <fb>336000</fb>
    <v>24</v>
  </rv>
  <rv s="1">
    <fb>17.602</fb>
    <v>25</v>
  </rv>
  <rv s="1">
    <fb>52</fb>
    <v>26</v>
  </rv>
  <rv s="0">
    <v>536870912</v>
    <v>Mexico City</v>
    <v>f1281260-8340-e258-c8ec-3522504400e5</v>
    <v>en-ID</v>
    <v>Map</v>
  </rv>
  <rv s="1">
    <fb>486405.54800000001</fb>
    <v>24</v>
  </rv>
  <rv s="1">
    <fb>141.54252296997399</fb>
    <v>27</v>
  </rv>
  <rv s="1">
    <fb>3.6359614212704998E-2</fb>
    <v>23</v>
  </rv>
  <rv s="1">
    <fb>2157.32394883914</fb>
    <v>24</v>
  </rv>
  <rv s="1">
    <fb>2.129</fb>
    <v>25</v>
  </rv>
  <rv s="1">
    <fb>0.339249458255099</fb>
    <v>23</v>
  </rv>
  <rv s="1">
    <fb>90.426207910940704</fb>
    <v>28</v>
  </rv>
  <rv s="1">
    <fb>0.73</fb>
    <v>29</v>
  </rv>
  <rv s="1">
    <fb>1258286717124.53</fb>
    <v>30</v>
  </rv>
  <rv s="1">
    <fb>1.0577000999999999</fb>
    <v>23</v>
  </rv>
  <rv s="1">
    <fb>0.40228960000000002</fb>
    <v>23</v>
  </rv>
  <rv s="2">
    <v>1</v>
    <v>21</v>
    <v>33</v>
    <v>7</v>
    <v>0</v>
    <v>Image of Mexico</v>
  </rv>
  <rv s="1">
    <fb>11</fb>
    <v>28</v>
  </rv>
  <rv s="0">
    <v>805306368</v>
    <v>Claudia Sheinbaum (President)</v>
    <v>d0490c30-2b7a-cbfd-f6ed-dffdff40aeb0</v>
    <v>en-ID</v>
    <v>Generic</v>
  </rv>
  <rv s="0">
    <v>805306368</v>
    <v>Hugo Aguilar Ortiz (Chief justice)</v>
    <v>1a43524c-d681-5731-58f7-ade8fe739722</v>
    <v>en-ID</v>
    <v>Generic</v>
  </rv>
  <rv s="3">
    <v>4</v>
  </rv>
  <rv s="4">
    <v>https://www.bing.com/search?q=mexico&amp;form=skydnc</v>
    <v>Learn more on Bing</v>
  </rv>
  <rv s="1">
    <fb>74.992000000000004</fb>
    <v>28</v>
  </rv>
  <rv s="1">
    <fb>413618820000</fb>
    <v>30</v>
  </rv>
  <rv s="1">
    <fb>33</fb>
    <v>28</v>
  </rv>
  <rv s="1">
    <fb>0.49</fb>
    <v>29</v>
  </rv>
  <rv s="3">
    <v>5</v>
  </rv>
  <rv s="1">
    <fb>0.41370018680000004</fb>
    <v>23</v>
  </rv>
  <rv s="1">
    <fb>2.3826999999999998</fb>
    <v>25</v>
  </rv>
  <rv s="1">
    <fb>131741347</fb>
    <v>24</v>
  </rv>
  <rv s="1">
    <fb>0.2</fb>
    <v>23</v>
  </rv>
  <rv s="1">
    <fb>0.36399999999999999</fb>
    <v>23</v>
  </rv>
  <rv s="1">
    <fb>0.51700000000000002</fb>
    <v>23</v>
  </rv>
  <rv s="1">
    <fb>0.02</fb>
    <v>23</v>
  </rv>
  <rv s="1">
    <fb>5.4000000000000006E-2</fb>
    <v>23</v>
  </rv>
  <rv s="1">
    <fb>9.5000000000000001E-2</fb>
    <v>23</v>
  </rv>
  <rv s="1">
    <fb>0.13500000000000001</fb>
    <v>23</v>
  </rv>
  <rv s="1">
    <fb>0.60680000305175807</fb>
    <v>23</v>
  </rv>
  <rv s="0">
    <v>536870912</v>
    <v>Aguascalientes</v>
    <v>7f39db16-d0e9-f4ba-b929-2a69336bbcb0</v>
    <v>en-ID</v>
    <v>Map</v>
  </rv>
  <rv s="0">
    <v>536870912</v>
    <v>Baja California</v>
    <v>6b504587-24aa-0512-9ca8-180f7fa0f586</v>
    <v>en-ID</v>
    <v>Map</v>
  </rv>
  <rv s="0">
    <v>536870912</v>
    <v>Baja California Sur</v>
    <v>72f2373c-402d-1899-776e-ebde71dada5d</v>
    <v>en-ID</v>
    <v>Map</v>
  </rv>
  <rv s="0">
    <v>536870912</v>
    <v>Campeche</v>
    <v>7c67b06b-20b4-3244-d633-4a6255df7395</v>
    <v>en-ID</v>
    <v>Map</v>
  </rv>
  <rv s="0">
    <v>536870912</v>
    <v>Chiapas</v>
    <v>f0d5e228-a3c3-8699-7df3-32ab85b078b3</v>
    <v>en-ID</v>
    <v>Map</v>
  </rv>
  <rv s="0">
    <v>536870912</v>
    <v>Chihuahua</v>
    <v>ce5a5e29-7bae-05e8-fec7-e028f5c1e139</v>
    <v>en-ID</v>
    <v>Map</v>
  </rv>
  <rv s="0">
    <v>536870912</v>
    <v>Coahuila</v>
    <v>b1fb0720-5dff-3cd3-aa9b-e91c0988b9f4</v>
    <v>en-ID</v>
    <v>Map</v>
  </rv>
  <rv s="0">
    <v>536870912</v>
    <v>Colima</v>
    <v>c5187e51-1440-155f-505d-5c7804e1489f</v>
    <v>en-ID</v>
    <v>Map</v>
  </rv>
  <rv s="0">
    <v>536870912</v>
    <v>Durango</v>
    <v>d5a4a060-173a-aa5a-3023-abf4cbc2f03d</v>
    <v>en-ID</v>
    <v>Map</v>
  </rv>
  <rv s="0">
    <v>536870912</v>
    <v>Guanajuato</v>
    <v>9eaf00cd-2b5c-3655-adbc-dc91f1f0fca3</v>
    <v>en-ID</v>
    <v>Map</v>
  </rv>
  <rv s="0">
    <v>536870912</v>
    <v>Guerrero</v>
    <v>86638283-e8d0-0d69-1241-dc688f82149b</v>
    <v>en-ID</v>
    <v>Map</v>
  </rv>
  <rv s="0">
    <v>536870912</v>
    <v>Hidalgo</v>
    <v>76baa939-e01a-077d-0c83-522220d05a5b</v>
    <v>en-ID</v>
    <v>Map</v>
  </rv>
  <rv s="0">
    <v>536870912</v>
    <v>Jalisco</v>
    <v>18c29bf9-bbf0-e90f-10f3-c48c9791339b</v>
    <v>en-ID</v>
    <v>Map</v>
  </rv>
  <rv s="0">
    <v>536870912</v>
    <v>State of Mexico</v>
    <v>884c2c6c-6f06-85ee-aa8d-65b8980f2231</v>
    <v>en-ID</v>
    <v>Map</v>
  </rv>
  <rv s="0">
    <v>536870912</v>
    <v>Michoacán</v>
    <v>33ec3160-5b7b-5fef-defd-4574b6b819d6</v>
    <v>en-ID</v>
    <v>Map</v>
  </rv>
  <rv s="0">
    <v>536870912</v>
    <v>Morelos</v>
    <v>457cd12b-12ce-71c2-81d5-f60ba9645b36</v>
    <v>en-ID</v>
    <v>Map</v>
  </rv>
  <rv s="0">
    <v>536870912</v>
    <v>Nayarit</v>
    <v>d5ab8703-9922-20b7-03c7-acb17f76b03e</v>
    <v>en-ID</v>
    <v>Map</v>
  </rv>
  <rv s="0">
    <v>536870912</v>
    <v>Nuevo León</v>
    <v>1696b325-bf35-b9aa-28db-3304c1996498</v>
    <v>en-ID</v>
    <v>Map</v>
  </rv>
  <rv s="0">
    <v>536870912</v>
    <v>Oaxaca</v>
    <v>2a651e2b-4cd2-6315-971b-6bddb30dfb4d</v>
    <v>en-ID</v>
    <v>Map</v>
  </rv>
  <rv s="0">
    <v>536870912</v>
    <v>Puebla</v>
    <v>e266f3f0-af5e-7537-36e1-118cfcc783a3</v>
    <v>en-ID</v>
    <v>Map</v>
  </rv>
  <rv s="0">
    <v>536870912</v>
    <v>Querétaro</v>
    <v>4a2d4179-0f55-70d5-99e7-165b2289a273</v>
    <v>en-ID</v>
    <v>Map</v>
  </rv>
  <rv s="0">
    <v>536870912</v>
    <v>Quintana Roo</v>
    <v>96bcffec-8d1c-5e86-ab0e-e31d5b9a157c</v>
    <v>en-ID</v>
    <v>Map</v>
  </rv>
  <rv s="0">
    <v>536870912</v>
    <v>San Luis Potosí</v>
    <v>c228dff2-2024-525b-1b90-fe82a2f5ccfc</v>
    <v>en-ID</v>
    <v>Map</v>
  </rv>
  <rv s="0">
    <v>536870912</v>
    <v>Sinaloa</v>
    <v>ef7dcafc-cca2-39b2-e063-e2bbf5b2022e</v>
    <v>en-ID</v>
    <v>Map</v>
  </rv>
  <rv s="0">
    <v>536870912</v>
    <v>Sonora</v>
    <v>e59e4f16-5e42-af6e-b970-e0ae59046077</v>
    <v>en-ID</v>
    <v>Map</v>
  </rv>
  <rv s="0">
    <v>536870912</v>
    <v>Tabasco</v>
    <v>f96880d9-0a36-58d3-7351-a4c7070c642d</v>
    <v>en-ID</v>
    <v>Map</v>
  </rv>
  <rv s="0">
    <v>536870912</v>
    <v>Tamaulipas</v>
    <v>6f2fce2f-2090-8583-dbf3-dd9d6fc3cab3</v>
    <v>en-ID</v>
    <v>Map</v>
  </rv>
  <rv s="0">
    <v>536870912</v>
    <v>Tlaxcala</v>
    <v>77063c53-3a0e-fbf0-30d8-68218fbc38fa</v>
    <v>en-ID</v>
    <v>Map</v>
  </rv>
  <rv s="0">
    <v>536870912</v>
    <v>Veracruz</v>
    <v>10381f79-264a-f2fd-08f8-cc5377683832</v>
    <v>en-ID</v>
    <v>Map</v>
  </rv>
  <rv s="0">
    <v>536870912</v>
    <v>Yucatán</v>
    <v>f096e19b-5b56-f73a-3e33-e3f03e33fffc</v>
    <v>en-ID</v>
    <v>Map</v>
  </rv>
  <rv s="0">
    <v>536870912</v>
    <v>Zacatecas</v>
    <v>135a47e4-6f2c-2112-febf-50c21b485bd3</v>
    <v>en-ID</v>
    <v>Map</v>
  </rv>
  <rv s="3">
    <v>6</v>
  </rv>
  <rv s="1">
    <fb>0.130829255322402</fb>
    <v>23</v>
  </rv>
  <rv s="3">
    <v>7</v>
  </rv>
  <rv s="1">
    <fb>0.55100000000000005</fb>
    <v>23</v>
  </rv>
  <rv s="1">
    <fb>3.4249999523162801E-2</fb>
    <v>31</v>
  </rv>
  <rv s="1">
    <fb>102626859</fb>
    <v>24</v>
  </rv>
  <rv s="6">
    <v>#VALUE!</v>
    <v>en-ID</v>
    <v>8e475659-4bdc-d912-6494-affce0096bc1</v>
    <v>536870912</v>
    <v>1</v>
    <v>36</v>
    <v>37</v>
    <v>Mexico</v>
    <v>19</v>
    <v>20</v>
    <v>Map</v>
    <v>21</v>
    <v>38</v>
    <v>MX</v>
    <v>41</v>
    <v>42</v>
    <v>43</v>
    <v>44</v>
    <v>45</v>
    <v>46</v>
    <v>47</v>
    <v>48</v>
    <v>49</v>
    <v>MXN</v>
    <v>Mexico, officially the United Mexican States, is a country in North America. It is the northernmost country in Latin America and borders the United States of America to the north, and Guatemala and Belize to the southeast; while having maritime ...</v>
    <v>50</v>
    <v>51</v>
    <v>52</v>
    <v>53</v>
    <v>54</v>
    <v>55</v>
    <v>56</v>
    <v>57</v>
    <v>58</v>
    <v>59</v>
    <v>46</v>
    <v>62</v>
    <v>63</v>
    <v>64</v>
    <v>65</v>
    <v>66</v>
    <v>67</v>
    <v>Mexico</v>
    <v>Himno Nacional Mexicano</v>
    <v>68</v>
    <v>Estados Unidos Mexicanos</v>
    <v>69</v>
    <v>70</v>
    <v>71</v>
    <v>72</v>
    <v>73</v>
    <v>74</v>
    <v>75</v>
    <v>76</v>
    <v>77</v>
    <v>78</v>
    <v>79</v>
    <v>111</v>
    <v>112</v>
    <v>113</v>
    <v>114</v>
    <v>115</v>
    <v>Mexico</v>
    <v>116</v>
    <v>mdp/vdpid/166</v>
  </rv>
  <rv s="0">
    <v>536870912</v>
    <v>Cambodia</v>
    <v>bb8658d2-efc7-e40e-6397-05439c87cb30</v>
    <v>en-ID</v>
    <v>Map</v>
  </rv>
  <rv s="1">
    <fb>0.30903013822796299</fb>
    <v>23</v>
  </rv>
  <rv s="1">
    <fb>181035</fb>
    <v>24</v>
  </rv>
  <rv s="1">
    <fb>191000</fb>
    <v>24</v>
  </rv>
  <rv s="1">
    <fb>22.463999999999999</fb>
    <v>25</v>
  </rv>
  <rv s="1">
    <fb>855</fb>
    <v>26</v>
  </rv>
  <rv s="0">
    <v>536870912</v>
    <v>Phnom Penh</v>
    <v>2af6d400-9e36-c46e-40c8-48152c13e1cc</v>
    <v>en-ID</v>
    <v>Map</v>
  </rv>
  <rv s="1">
    <fb>9919.2350000000006</fb>
    <v>24</v>
  </rv>
  <rv s="1">
    <fb>127.633466125719</fb>
    <v>27</v>
  </rv>
  <rv s="1">
    <fb>2.4579649002317901E-2</fb>
    <v>23</v>
  </rv>
  <rv s="1">
    <fb>271.36725823419602</fb>
    <v>24</v>
  </rv>
  <rv s="1">
    <fb>2.5030000000000001</fb>
    <v>25</v>
  </rv>
  <rv s="1">
    <fb>0.52852932298748001</fb>
    <v>23</v>
  </rv>
  <rv s="1">
    <fb>30.629081397543999</fb>
    <v>28</v>
  </rv>
  <rv s="1">
    <fb>0.9</fb>
    <v>29</v>
  </rv>
  <rv s="1">
    <fb>27089389786.968399</fb>
    <v>30</v>
  </rv>
  <rv s="1">
    <fb>1.0741485</fb>
    <v>23</v>
  </rv>
  <rv s="1">
    <fb>0.13687760000000002</fb>
    <v>23</v>
  </rv>
  <rv s="2">
    <v>2</v>
    <v>21</v>
    <v>40</v>
    <v>7</v>
    <v>0</v>
    <v>Image of Cambodia</v>
  </rv>
  <rv s="1">
    <fb>24</fb>
    <v>28</v>
  </rv>
  <rv s="0">
    <v>805306368</v>
    <v>Norodom Sihamoni (Monarch)</v>
    <v>a95f7f79-66ee-d11e-a411-10669d3d5027</v>
    <v>en-ID</v>
    <v>Generic</v>
  </rv>
  <rv s="0">
    <v>805306368</v>
    <v>Hun Manet (Prime minister)</v>
    <v>01c2714d-bb04-7cc5-12f6-dda3f77b2c62</v>
    <v>en-ID</v>
    <v>Generic</v>
  </rv>
  <rv s="3">
    <v>8</v>
  </rv>
  <rv s="4">
    <v>https://www.bing.com/search?q=cambodia&amp;form=skydnc</v>
    <v>Learn more on Bing</v>
  </rv>
  <rv s="1">
    <fb>69.569999999999993</fb>
    <v>28</v>
  </rv>
  <rv s="1">
    <fb>160</fb>
    <v>28</v>
  </rv>
  <rv s="3">
    <v>9</v>
  </rv>
  <rv s="1">
    <fb>0.59363314229999997</fb>
    <v>23</v>
  </rv>
  <rv s="1">
    <fb>0.16819999999999999</fb>
    <v>25</v>
  </rv>
  <rv s="1">
    <fb>17230333</fb>
    <v>24</v>
  </rv>
  <rv s="1">
    <fb>0.82313003540039109</fb>
    <v>23</v>
  </rv>
  <rv s="0">
    <v>536870912</v>
    <v>Banteay Meanchey province</v>
    <v>505a5635-03c6-3282-06d4-b29d4f60e720</v>
    <v>en-ID</v>
    <v>Map</v>
  </rv>
  <rv s="0">
    <v>536870912</v>
    <v>Battambang province</v>
    <v>a4627637-5390-c9da-b3fd-9909541ae42c</v>
    <v>en-ID</v>
    <v>Map</v>
  </rv>
  <rv s="0">
    <v>536870912</v>
    <v>Kampong Cham province</v>
    <v>8c373015-7888-6d3d-8026-8b55879e04e8</v>
    <v>en-ID</v>
    <v>Map</v>
  </rv>
  <rv s="0">
    <v>536870912</v>
    <v>Kampong Chhnang province</v>
    <v>d70295a1-217a-1f43-e542-f65e1b577c7b</v>
    <v>en-ID</v>
    <v>Map</v>
  </rv>
  <rv s="0">
    <v>536870912</v>
    <v>Kampong Speu province</v>
    <v>b7c7cee7-453b-f3ed-7e11-91500de7886f</v>
    <v>en-ID</v>
    <v>Map</v>
  </rv>
  <rv s="0">
    <v>536870912</v>
    <v>Kampong Thom province</v>
    <v>8612fdc7-179e-420f-418d-f5957626ee3e</v>
    <v>en-ID</v>
    <v>Map</v>
  </rv>
  <rv s="0">
    <v>536870912</v>
    <v>Kampot province</v>
    <v>39b642fc-0a43-f761-1735-30054e9c2441</v>
    <v>en-ID</v>
    <v>Map</v>
  </rv>
  <rv s="0">
    <v>536870912</v>
    <v>Kandal province</v>
    <v>172ab1c0-4e87-3804-6ebc-5ab4cc1628bf</v>
    <v>en-ID</v>
    <v>Map</v>
  </rv>
  <rv s="0">
    <v>536870912</v>
    <v>Koh Kong province</v>
    <v>e2e200f7-3c7d-ddbb-230d-8df6024f0f70</v>
    <v>en-ID</v>
    <v>Map</v>
  </rv>
  <rv s="0">
    <v>536870912</v>
    <v>Kratié province</v>
    <v>12dcc255-4c9c-c7fd-12b9-c69ac9bfd061</v>
    <v>en-ID</v>
    <v>Map</v>
  </rv>
  <rv s="0">
    <v>536870912</v>
    <v>Mondulkiri province</v>
    <v>f2d64bb2-2943-991b-f338-025dad7c90a2</v>
    <v>en-ID</v>
    <v>Map</v>
  </rv>
  <rv s="0">
    <v>536870912</v>
    <v>Oddar Meanchey province</v>
    <v>023439ca-104c-cf5c-fa55-276a17b031d3</v>
    <v>en-ID</v>
    <v>Map</v>
  </rv>
  <rv s="0">
    <v>536870912</v>
    <v>Preah Vihear province</v>
    <v>acf0105e-7051-7b0d-cf2a-bc9ceb06a073</v>
    <v>en-ID</v>
    <v>Map</v>
  </rv>
  <rv s="0">
    <v>536870912</v>
    <v>Pursat province</v>
    <v>c62a8d40-5575-a2b8-dcc7-14bcf457b830</v>
    <v>en-ID</v>
    <v>Map</v>
  </rv>
  <rv s="0">
    <v>536870912</v>
    <v>Prey Veng province</v>
    <v>d48859b0-aeaf-1bdc-d91d-c1c8716e0bf3</v>
    <v>en-ID</v>
    <v>Map</v>
  </rv>
  <rv s="0">
    <v>536870912</v>
    <v>Ratanakiri province</v>
    <v>4ea0c574-0a72-3fc7-181b-b7ff35d0a8d4</v>
    <v>en-ID</v>
    <v>Map</v>
  </rv>
  <rv s="0">
    <v>536870912</v>
    <v>Siem Reap province</v>
    <v>41502905-753f-39f7-3a73-73920daff8b5</v>
    <v>en-ID</v>
    <v>Map</v>
  </rv>
  <rv s="0">
    <v>536870912</v>
    <v>Stung Treng province</v>
    <v>d0d1346d-02f3-ddb5-8dcd-61ed702e40d4</v>
    <v>en-ID</v>
    <v>Map</v>
  </rv>
  <rv s="0">
    <v>536870912</v>
    <v>Svay Rieng province</v>
    <v>c2206c42-8e00-3b93-d460-84a6956df4da</v>
    <v>en-ID</v>
    <v>Map</v>
  </rv>
  <rv s="0">
    <v>536870912</v>
    <v>Takéo province</v>
    <v>ad3f47be-b385-aa9b-b056-26e1ce0c37e5</v>
    <v>en-ID</v>
    <v>Map</v>
  </rv>
  <rv s="0">
    <v>536870912</v>
    <v>Kep province</v>
    <v>b023fdb3-0276-363e-41d7-1f3c09aa8bf3</v>
    <v>en-ID</v>
    <v>Map</v>
  </rv>
  <rv s="0">
    <v>536870912</v>
    <v>Pailin province</v>
    <v>389479ba-7ca4-3b3f-9a3e-54ce0d52f046</v>
    <v>en-ID</v>
    <v>Map</v>
  </rv>
  <rv s="3">
    <v>10</v>
  </rv>
  <rv s="1">
    <fb>0.17052091762089902</fb>
    <v>23</v>
  </rv>
  <rv s="3">
    <v>11</v>
  </rv>
  <rv s="1">
    <fb>0.23100000000000001</fb>
    <v>23</v>
  </rv>
  <rv s="1">
    <fb>6.7699998617172198E-3</fb>
    <v>31</v>
  </rv>
  <rv s="1">
    <fb>3924621</fb>
    <v>24</v>
  </rv>
  <rv s="7">
    <v>#VALUE!</v>
    <v>en-ID</v>
    <v>bb8658d2-efc7-e40e-6397-05439c87cb30</v>
    <v>536870912</v>
    <v>1</v>
    <v>43</v>
    <v>44</v>
    <v>Cambodia</v>
    <v>19</v>
    <v>20</v>
    <v>Map</v>
    <v>21</v>
    <v>45</v>
    <v>KH</v>
    <v>119</v>
    <v>120</v>
    <v>121</v>
    <v>122</v>
    <v>123</v>
    <v>124</v>
    <v>125</v>
    <v>126</v>
    <v>127</v>
    <v>KHR</v>
    <v>Cambodia, officially the Kingdom of Cambodia, is a country in Mainland Southeast Asia. It is bordered by Thailand to the northwest, Laos to the north, and Vietnam to the east, and has a coastline along the Gulf of Thailand in the southwest. It ...</v>
    <v>128</v>
    <v>129</v>
    <v>130</v>
    <v>131</v>
    <v>132</v>
    <v>133</v>
    <v>134</v>
    <v>135</v>
    <v>136</v>
    <v>137</v>
    <v>124</v>
    <v>140</v>
    <v>141</v>
    <v>142</v>
    <v>143</v>
    <v>Cambodia</v>
    <v>Bât Nôkôr Réach</v>
    <v>144</v>
    <v>ព្រះរាជាណាចក្រកម្ពុជា</v>
    <v>145</v>
    <v>146</v>
    <v>147</v>
    <v>148</v>
    <v>171</v>
    <v>172</v>
    <v>173</v>
    <v>174</v>
    <v>175</v>
    <v>Cambodia</v>
    <v>176</v>
    <v>mdp/vdpid/40</v>
  </rv>
  <rv s="0">
    <v>536870912</v>
    <v>Poland</v>
    <v>1d6059a2-d1f1-d2d7-4261-dc7cd5cdb84b</v>
    <v>en-ID</v>
    <v>Map</v>
  </rv>
  <rv s="1">
    <fb>0.469447075345374</fb>
    <v>23</v>
  </rv>
  <rv s="1">
    <fb>312683</fb>
    <v>24</v>
  </rv>
  <rv s="1">
    <fb>10.199999999999999</fb>
    <v>25</v>
  </rv>
  <rv s="1">
    <fb>48</fb>
    <v>26</v>
  </rv>
  <rv s="0">
    <v>536870912</v>
    <v>Warsaw</v>
    <v>c79f30ac-b9a3-0949-6bdf-956551e5fc81</v>
    <v>en-ID</v>
    <v>Map</v>
  </rv>
  <rv s="1">
    <fb>299036.516</fb>
    <v>24</v>
  </rv>
  <rv s="1">
    <fb>114.111779375092</fb>
    <v>27</v>
  </rv>
  <rv s="1">
    <fb>2.227478809383E-2</fb>
    <v>23</v>
  </rv>
  <rv s="1">
    <fb>3971.7997613105499</fb>
    <v>24</v>
  </rv>
  <rv s="1">
    <fb>1.46</fb>
    <v>25</v>
  </rv>
  <rv s="1">
    <fb>0.30883439025809101</fb>
    <v>23</v>
  </rv>
  <rv s="1">
    <fb>90.291375435655297</fb>
    <v>28</v>
  </rv>
  <rv s="1">
    <fb>1.07</fb>
    <v>29</v>
  </rv>
  <rv s="1">
    <fb>592164400687.60706</fb>
    <v>30</v>
  </rv>
  <rv s="1">
    <fb>1.000159</fb>
    <v>23</v>
  </rv>
  <rv s="1">
    <fb>0.67827439999999994</fb>
    <v>23</v>
  </rv>
  <rv s="2">
    <v>3</v>
    <v>21</v>
    <v>47</v>
    <v>7</v>
    <v>0</v>
    <v>Image of Poland</v>
  </rv>
  <rv s="1">
    <fb>3.8</fb>
    <v>28</v>
  </rv>
  <rv s="0">
    <v>805306368</v>
    <v>Karol Nawrocki (President)</v>
    <v>c2563fed-7690-f9ab-3761-9eaab44fdf26</v>
    <v>en-ID</v>
    <v>Generic</v>
  </rv>
  <rv s="0">
    <v>805306368</v>
    <v>Donald Tusk (Prime minister)</v>
    <v>42c246ff-649b-1da6-5b06-8c6201991d6a</v>
    <v>en-ID</v>
    <v>Generic</v>
  </rv>
  <rv s="3">
    <v>12</v>
  </rv>
  <rv s="4">
    <v>https://www.bing.com/search?q=poland&amp;form=skydnc</v>
    <v>Learn more on Bing</v>
  </rv>
  <rv s="1">
    <fb>77.602439024390307</fb>
    <v>28</v>
  </rv>
  <rv s="1">
    <fb>151618860000</fb>
    <v>30</v>
  </rv>
  <rv s="1">
    <fb>2</fb>
    <v>28</v>
  </rv>
  <rv s="1">
    <fb>2.93</fb>
    <v>29</v>
  </rv>
  <rv s="3">
    <v>13</v>
  </rv>
  <rv s="1">
    <fb>0.23246298360000001</fb>
    <v>23</v>
  </rv>
  <rv s="1">
    <fb>2.3788</fb>
    <v>25</v>
  </rv>
  <rv s="1">
    <fb>38364679</fb>
    <v>24</v>
  </rv>
  <rv s="1">
    <fb>0.22600000000000001</fb>
    <v>23</v>
  </rv>
  <rv s="1">
    <fb>0.23499999999999999</fb>
    <v>23</v>
  </rv>
  <rv s="1">
    <fb>0.38200000000000001</fb>
    <v>23</v>
  </rv>
  <rv s="1">
    <fb>3.2000000000000001E-2</fb>
    <v>23</v>
  </rv>
  <rv s="1">
    <fb>8.3000000000000004E-2</fb>
    <v>23</v>
  </rv>
  <rv s="1">
    <fb>0.13400000000000001</fb>
    <v>23</v>
  </rv>
  <rv s="1">
    <fb>0.17499999999999999</fb>
    <v>23</v>
  </rv>
  <rv s="1">
    <fb>0.56701000213622998</fb>
    <v>23</v>
  </rv>
  <rv s="0">
    <v>536870912</v>
    <v>Lower Silesian Voivodeship</v>
    <v>2c12027c-f1f3-15e4-470e-533d0b324b34</v>
    <v>en-ID</v>
    <v>Map</v>
  </rv>
  <rv s="0">
    <v>536870912</v>
    <v>Łódź Voivodeship</v>
    <v>0fe063e3-0ad6-1012-edb0-f676300d33ea</v>
    <v>en-ID</v>
    <v>Map</v>
  </rv>
  <rv s="0">
    <v>536870912</v>
    <v>Świętokrzyskie Voivodeship</v>
    <v>f361912e-d7ba-dd37-b583-2068d7a03177</v>
    <v>en-ID</v>
    <v>Map</v>
  </rv>
  <rv s="0">
    <v>536870912</v>
    <v>Lesser Poland Voivodeship</v>
    <v>efd58db8-b0c8-2329-0f3a-8adeab450d74</v>
    <v>en-ID</v>
    <v>Map</v>
  </rv>
  <rv s="0">
    <v>536870912</v>
    <v>Lublin Voivodeship</v>
    <v>b5dea0b6-7035-ffe9-a5c1-a961fcb0e72e</v>
    <v>en-ID</v>
    <v>Map</v>
  </rv>
  <rv s="0">
    <v>536870912</v>
    <v>Masovian Voivodeship</v>
    <v>32cae853-042c-0a77-5173-f511fead52f6</v>
    <v>en-ID</v>
    <v>Map</v>
  </rv>
  <rv s="0">
    <v>536870912</v>
    <v>Kuyavian–Pomeranian Voivodeship</v>
    <v>2b254630-1d13-aca8-305f-0841a7ec6b83</v>
    <v>en-ID</v>
    <v>Map</v>
  </rv>
  <rv s="0">
    <v>536870912</v>
    <v>Opole Voivodeship</v>
    <v>6a026a5e-de28-6062-3c38-7c6f4181e5bc</v>
    <v>en-ID</v>
    <v>Map</v>
  </rv>
  <rv s="0">
    <v>536870912</v>
    <v>Podkarpackie Voivodeship</v>
    <v>f88dda2b-0c12-4d9a-984c-52115296336c</v>
    <v>en-ID</v>
    <v>Map</v>
  </rv>
  <rv s="0">
    <v>536870912</v>
    <v>Lubusz Voivodeship</v>
    <v>c0d124dd-136d-3834-1fe8-efd33254942d</v>
    <v>en-ID</v>
    <v>Map</v>
  </rv>
  <rv s="0">
    <v>536870912</v>
    <v>Pomeranian Voivodeship</v>
    <v>765662c5-0a8a-9aea-8c1c-c063ec4e16f8</v>
    <v>en-ID</v>
    <v>Map</v>
  </rv>
  <rv s="0">
    <v>536870912</v>
    <v>Warmian–Masurian Voivodeship</v>
    <v>eed14489-8bcb-c40c-6362-4e95235cce3f</v>
    <v>en-ID</v>
    <v>Map</v>
  </rv>
  <rv s="0">
    <v>536870912</v>
    <v>Silesian Voivodeship</v>
    <v>21f7e450-daba-be7f-4ac9-7f73980437c9</v>
    <v>en-ID</v>
    <v>Map</v>
  </rv>
  <rv s="0">
    <v>536870912</v>
    <v>Podlaskie Voivodeship</v>
    <v>82774917-52f8-91a2-e0f4-7810458bd6ed</v>
    <v>en-ID</v>
    <v>Map</v>
  </rv>
  <rv s="0">
    <v>536870912</v>
    <v>West Pomeranian Voivodeship</v>
    <v>af2cc162-3439-53b4-582b-cb4495bdbf8e</v>
    <v>en-ID</v>
    <v>Map</v>
  </rv>
  <rv s="0">
    <v>536870912</v>
    <v>Greater Poland Voivodeship</v>
    <v>edec10d8-3c1d-302b-daa4-5a643ab293e8</v>
    <v>en-ID</v>
    <v>Map</v>
  </rv>
  <rv s="3">
    <v>14</v>
  </rv>
  <rv s="1">
    <fb>0.174019561608692</fb>
    <v>23</v>
  </rv>
  <rv s="3">
    <v>15</v>
  </rv>
  <rv s="1">
    <fb>0.40799999999999997</fb>
    <v>23</v>
  </rv>
  <rv s="1">
    <fb>3.4739999771118198E-2</fb>
    <v>31</v>
  </rv>
  <rv s="1">
    <fb>22796574</fb>
    <v>24</v>
  </rv>
  <rv s="6">
    <v>#VALUE!</v>
    <v>en-ID</v>
    <v>1d6059a2-d1f1-d2d7-4261-dc7cd5cdb84b</v>
    <v>536870912</v>
    <v>1</v>
    <v>50</v>
    <v>37</v>
    <v>Poland</v>
    <v>19</v>
    <v>20</v>
    <v>Map</v>
    <v>21</v>
    <v>51</v>
    <v>PL</v>
    <v>179</v>
    <v>180</v>
    <v>121</v>
    <v>181</v>
    <v>182</v>
    <v>183</v>
    <v>184</v>
    <v>185</v>
    <v>186</v>
    <v>PLN</v>
    <v>Poland, officially the Republic of Poland, is a country in Central Europe. It extends from the Baltic Sea in the north to the Sudetes and Carpathian Mountains in the south, and borders Lithuania and Russia to the northeast; Belarus and Ukraine ...</v>
    <v>187</v>
    <v>188</v>
    <v>189</v>
    <v>190</v>
    <v>191</v>
    <v>192</v>
    <v>193</v>
    <v>194</v>
    <v>195</v>
    <v>196</v>
    <v>183</v>
    <v>199</v>
    <v>200</v>
    <v>201</v>
    <v>202</v>
    <v>203</v>
    <v>204</v>
    <v>Poland</v>
    <v>Poland Is Not Yet Lost</v>
    <v>205</v>
    <v>Rzeczpospolita Polska</v>
    <v>206</v>
    <v>207</v>
    <v>208</v>
    <v>209</v>
    <v>210</v>
    <v>211</v>
    <v>212</v>
    <v>213</v>
    <v>214</v>
    <v>215</v>
    <v>216</v>
    <v>233</v>
    <v>234</v>
    <v>235</v>
    <v>236</v>
    <v>237</v>
    <v>Poland</v>
    <v>238</v>
    <v>mdp/vdpid/191</v>
  </rv>
  <rv s="0">
    <v>536870912</v>
    <v>France</v>
    <v>c7bfe2de-4f82-e23c-ae42-8544b5b5c0ea</v>
    <v>en-ID</v>
    <v>Map</v>
  </rv>
  <rv s="1">
    <fb>0.524475441661716</fb>
    <v>23</v>
  </rv>
  <rv s="1">
    <fb>643801</fb>
    <v>24</v>
  </rv>
  <rv s="1">
    <fb>307000</fb>
    <v>24</v>
  </rv>
  <rv s="1">
    <fb>11.3</fb>
    <v>25</v>
  </rv>
  <rv s="1">
    <fb>33</fb>
    <v>26</v>
  </rv>
  <rv s="0">
    <v>536870912</v>
    <v>Paris</v>
    <v>85584d24-2116-5b98-89f9-5714db931ac6</v>
    <v>en-ID</v>
    <v>Map</v>
  </rv>
  <rv s="1">
    <fb>303275.56800000003</fb>
    <v>24</v>
  </rv>
  <rv s="1">
    <fb>110.04856675289</fb>
    <v>27</v>
  </rv>
  <rv s="1">
    <fb>1.1082549228829199E-2</fb>
    <v>23</v>
  </rv>
  <rv s="1">
    <fb>6939.5214736692897</fb>
    <v>24</v>
  </rv>
  <rv s="1">
    <fb>1.88</fb>
    <v>25</v>
  </rv>
  <rv s="1">
    <fb>0.31233278442262596</fb>
    <v>23</v>
  </rv>
  <rv s="1">
    <fb>46.487970872236403</fb>
    <v>28</v>
  </rv>
  <rv s="1">
    <fb>1.39</fb>
    <v>29</v>
  </rv>
  <rv s="1">
    <fb>2715518274227.4502</fb>
    <v>30</v>
  </rv>
  <rv s="1">
    <fb>1.0251076000000001</fb>
    <v>23</v>
  </rv>
  <rv s="1">
    <fb>0.65629000000000004</fb>
    <v>23</v>
  </rv>
  <rv s="2">
    <v>4</v>
    <v>21</v>
    <v>53</v>
    <v>7</v>
    <v>0</v>
    <v>Image of France</v>
  </rv>
  <rv s="1">
    <fb>3.4</fb>
    <v>28</v>
  </rv>
  <rv s="0">
    <v>805306368</v>
    <v>Emmanuel Macron (President)</v>
    <v>35be5a56-7a78-6352-b158-60da8f84c858</v>
    <v>en-ID</v>
    <v>Generic</v>
  </rv>
  <rv s="0">
    <v>805306368</v>
    <v>Sébastien Lecornu (Prime minister)</v>
    <v>e47a48ba-584f-b611-b461-996ec493e56d</v>
    <v>en-ID</v>
    <v>Generic</v>
  </rv>
  <rv s="3">
    <v>16</v>
  </rv>
  <rv s="4">
    <v>https://www.bing.com/search?q=france&amp;form=skydnc</v>
    <v>Learn more on Bing</v>
  </rv>
  <rv s="1">
    <fb>82.526829268292701</fb>
    <v>28</v>
  </rv>
  <rv s="1">
    <fb>2365950236659.3599</fb>
    <v>30</v>
  </rv>
  <rv s="1">
    <fb>8</fb>
    <v>28</v>
  </rv>
  <rv s="1">
    <fb>11.16</fb>
    <v>29</v>
  </rv>
  <rv s="3">
    <v>17</v>
  </rv>
  <rv s="1">
    <fb>6.7968269799999995E-2</fb>
    <v>23</v>
  </rv>
  <rv s="1">
    <fb>3.2671999999999999</fb>
    <v>25</v>
  </rv>
  <rv s="1">
    <fb>68512806</fb>
    <v>24</v>
  </rv>
  <rv s="1">
    <fb>0.21899999999999997</fb>
    <v>23</v>
  </rv>
  <rv s="1">
    <fb>0.25800000000000001</fb>
    <v>23</v>
  </rv>
  <rv s="1">
    <fb>0.4</fb>
    <v>23</v>
  </rv>
  <rv s="1">
    <fb>8.1000000000000003E-2</fb>
    <v>23</v>
  </rv>
  <rv s="1">
    <fb>0.13</fb>
    <v>23</v>
  </rv>
  <rv s="1">
    <fb>0.16899999999999998</fb>
    <v>23</v>
  </rv>
  <rv s="1">
    <fb>0.55125999450683605</fb>
    <v>23</v>
  </rv>
  <rv s="0">
    <v>536870912</v>
    <v>Brittany</v>
    <v>809fb739-638d-2499-95bd-c8e5b10153ee</v>
    <v>en-ID</v>
    <v>Map</v>
  </rv>
  <rv s="0">
    <v>536870912</v>
    <v>Centre-Val de Loire</v>
    <v>6aafd8c4-aba3-0388-62a3-d302e77f40c4</v>
    <v>en-ID</v>
    <v>Map</v>
  </rv>
  <rv s="0">
    <v>536870912</v>
    <v>Corsica</v>
    <v>7dae6ff4-03ba-2162-da4b-d4cf544ad43f</v>
    <v>en-ID</v>
    <v>Map</v>
  </rv>
  <rv s="0">
    <v>536870912</v>
    <v>Île-de-France</v>
    <v>ba200862-fc37-6d22-3434-c6e709faa507</v>
    <v>en-ID</v>
    <v>Map</v>
  </rv>
  <rv s="0">
    <v>536870912</v>
    <v>Pays de la Loire</v>
    <v>a6129a88-a4cd-2b75-1a35-f5d0639f17ae</v>
    <v>en-ID</v>
    <v>Map</v>
  </rv>
  <rv s="0">
    <v>536870912</v>
    <v>Provence-Alpes-Côte d'Azur</v>
    <v>66cd1ae3-f633-45f9-93bd-73ca67bffb25</v>
    <v>en-ID</v>
    <v>Map</v>
  </rv>
  <rv s="0">
    <v>536870912</v>
    <v>Guadeloupe</v>
    <v>56b80aaa-d840-1a73-13ba-70eb9b61a642</v>
    <v>en-ID</v>
    <v>Map</v>
  </rv>
  <rv s="0">
    <v>536870912</v>
    <v>French Guiana</v>
    <v>328feb88-20d1-8674-1574-3ce8cc0bc9e9</v>
    <v>en-ID</v>
    <v>Map</v>
  </rv>
  <rv s="0">
    <v>536870912</v>
    <v>Martinique</v>
    <v>f245adef-ee09-9352-e265-2a287e5eadbe</v>
    <v>en-ID</v>
    <v>Map</v>
  </rv>
  <rv s="0">
    <v>536870912</v>
    <v>Mayotte</v>
    <v>545cc8bc-c211-076d-ee26-d2ff955eb394</v>
    <v>en-ID</v>
    <v>Map</v>
  </rv>
  <rv s="0">
    <v>536870912</v>
    <v>Réunion</v>
    <v>7d1fa0b0-e3d7-d903-d64d-489c03fd0a75</v>
    <v>en-ID</v>
    <v>Map</v>
  </rv>
  <rv s="0">
    <v>536870912</v>
    <v>French Polynesia</v>
    <v>340e15d5-6b74-8497-bbfa-4c1f323f5483</v>
    <v>en-ID</v>
    <v>Map</v>
  </rv>
  <rv s="0">
    <v>536870912</v>
    <v>French Southern and Antarctic Lands</v>
    <v>b9d52319-44ee-bf16-d95f-72397f26ce4a</v>
    <v>en-ID</v>
    <v>Map</v>
  </rv>
  <rv s="0">
    <v>536870912</v>
    <v>New Caledonia</v>
    <v>25b2aeab-b390-d01e-1f7f-90be767bd899</v>
    <v>en-ID</v>
    <v>Map</v>
  </rv>
  <rv s="0">
    <v>536870912</v>
    <v>Saint Barthélemy</v>
    <v>5c5081a9-306e-4f05-73a2-32b95a4b8600</v>
    <v>en-ID</v>
    <v>Map</v>
  </rv>
  <rv s="0">
    <v>536870912</v>
    <v>Collectivity of Saint Martin</v>
    <v>281a8fb2-1b63-4320-5d31-8f0fb46c4f1a</v>
    <v>en-ID</v>
    <v>Map</v>
  </rv>
  <rv s="0">
    <v>536870912</v>
    <v>Saint Pierre and Miquelon</v>
    <v>aa096cf4-a54e-cd44-7204-c28310ca40f4</v>
    <v>en-ID</v>
    <v>Map</v>
  </rv>
  <rv s="0">
    <v>536870912</v>
    <v>Wallis and Futuna</v>
    <v>db8aa235-58e4-9e3d-8799-6839f3d35025</v>
    <v>en-ID</v>
    <v>Map</v>
  </rv>
  <rv s="0">
    <v>536870912</v>
    <v>Grand Est</v>
    <v>e2f60e84-1701-6d84-e960-ba87138e3631</v>
    <v>en-ID</v>
    <v>Map</v>
  </rv>
  <rv s="0">
    <v>536870912</v>
    <v>Nouvelle-Aquitaine</v>
    <v>7955f423-af31-d2e0-f045-b14668178865</v>
    <v>en-ID</v>
    <v>Map</v>
  </rv>
  <rv s="0">
    <v>536870912</v>
    <v>Auvergne-Rhône-Alpes</v>
    <v>b53940d0-b739-faf5-78d1-93f189f878c9</v>
    <v>en-ID</v>
    <v>Map</v>
  </rv>
  <rv s="0">
    <v>536870912</v>
    <v>Bourgogne-Franche-Comté</v>
    <v>4bc8dff1-8d72-5341-f405-63c7be8c6672</v>
    <v>en-ID</v>
    <v>Map</v>
  </rv>
  <rv s="0">
    <v>536870912</v>
    <v>Occitania</v>
    <v>5105d172-dc70-689f-09ab-4163a747508a</v>
    <v>en-ID</v>
    <v>Map</v>
  </rv>
  <rv s="0">
    <v>536870912</v>
    <v>Hauts-de-France</v>
    <v>4eb2d0b0-8845-48d0-9343-9ba3e7fe81a0</v>
    <v>en-ID</v>
    <v>Map</v>
  </rv>
  <rv s="0">
    <v>536870912</v>
    <v>Clipperton Island</v>
    <v>15fb63fc-f501-7360-7d44-f26d1501209e</v>
    <v>en-ID</v>
    <v>Map</v>
  </rv>
  <rv s="3">
    <v>18</v>
  </rv>
  <rv s="1">
    <fb>0.24229980509910898</fb>
    <v>23</v>
  </rv>
  <rv s="3">
    <v>19</v>
  </rv>
  <rv s="1">
    <fb>0.60699999999999998</fb>
    <v>23</v>
  </rv>
  <rv s="1">
    <fb>8.4270000457763714E-2</fb>
    <v>31</v>
  </rv>
  <rv s="1">
    <fb>54123364</fb>
    <v>24</v>
  </rv>
  <rv s="6">
    <v>#VALUE!</v>
    <v>en-ID</v>
    <v>c7bfe2de-4f82-e23c-ae42-8544b5b5c0ea</v>
    <v>536870912</v>
    <v>1</v>
    <v>56</v>
    <v>37</v>
    <v>France</v>
    <v>19</v>
    <v>20</v>
    <v>Map</v>
    <v>21</v>
    <v>57</v>
    <v>FR</v>
    <v>241</v>
    <v>242</v>
    <v>243</v>
    <v>244</v>
    <v>245</v>
    <v>246</v>
    <v>247</v>
    <v>248</v>
    <v>249</v>
    <v>EUR</v>
    <v>France, officially the French Republic, is a country primarily located in Western Europe. Its overseas regions and territories include French Guiana in South America, Saint Pierre and Miquelon in the North Atlantic, the French West Indies, and ...</v>
    <v>250</v>
    <v>251</v>
    <v>252</v>
    <v>253</v>
    <v>254</v>
    <v>255</v>
    <v>256</v>
    <v>257</v>
    <v>258</v>
    <v>259</v>
    <v>246</v>
    <v>262</v>
    <v>263</v>
    <v>264</v>
    <v>265</v>
    <v>266</v>
    <v>267</v>
    <v>France</v>
    <v>La Marseillaise</v>
    <v>268</v>
    <v>République française</v>
    <v>269</v>
    <v>270</v>
    <v>271</v>
    <v>272</v>
    <v>273</v>
    <v>274</v>
    <v>212</v>
    <v>275</v>
    <v>276</v>
    <v>277</v>
    <v>278</v>
    <v>304</v>
    <v>305</v>
    <v>306</v>
    <v>307</v>
    <v>308</v>
    <v>France</v>
    <v>309</v>
    <v>mdp/vdpid/84</v>
  </rv>
  <rv s="0">
    <v>536870912</v>
    <v>Philippines</v>
    <v>fe47e182-43d6-4546-8bee-86609d6dd805</v>
    <v>en-ID</v>
    <v>Map</v>
  </rv>
  <rv s="1">
    <fb>0.41721165777911901</fb>
    <v>23</v>
  </rv>
  <rv s="1">
    <fb>343448</fb>
    <v>24</v>
  </rv>
  <rv s="1">
    <fb>153000</fb>
    <v>24</v>
  </rv>
  <rv s="1">
    <fb>20.545999999999999</fb>
    <v>25</v>
  </rv>
  <rv s="1">
    <fb>63</fb>
    <v>26</v>
  </rv>
  <rv s="0">
    <v>536870912</v>
    <v>Manila</v>
    <v>33b0f709-fe63-e51f-6893-aa4d29b074e5</v>
    <v>en-ID</v>
    <v>Map</v>
  </rv>
  <rv s="1">
    <fb>122287.11599999999</fb>
    <v>24</v>
  </rv>
  <rv s="1">
    <fb>129.61325724947901</fb>
    <v>27</v>
  </rv>
  <rv s="1">
    <fb>2.4802785871650902E-2</fb>
    <v>23</v>
  </rv>
  <rv s="1">
    <fb>696.34678005973694</fb>
    <v>24</v>
  </rv>
  <rv s="1">
    <fb>2.5760000000000001</fb>
    <v>25</v>
  </rv>
  <rv s="1">
    <fb>0.27769393299124701</fb>
    <v>23</v>
  </rv>
  <rv s="1">
    <fb>62.434896292186799</fb>
    <v>28</v>
  </rv>
  <rv s="1">
    <fb>0.86</fb>
    <v>29</v>
  </rv>
  <rv s="1">
    <fb>376795508679.67603</fb>
    <v>30</v>
  </rv>
  <rv s="1">
    <fb>1.0750976999999999</fb>
    <v>23</v>
  </rv>
  <rv s="1">
    <fb>0.35475459999999998</fb>
    <v>23</v>
  </rv>
  <rv s="2">
    <v>5</v>
    <v>21</v>
    <v>59</v>
    <v>7</v>
    <v>0</v>
    <v>Image of Philippines</v>
  </rv>
  <rv s="1">
    <fb>22.5</fb>
    <v>28</v>
  </rv>
  <rv s="0">
    <v>536870912</v>
    <v>Quezon City</v>
    <v>5e001b49-2fd0-4f45-a43f-6c8cdf9ee04c</v>
    <v>en-ID</v>
    <v>Map</v>
  </rv>
  <rv s="0">
    <v>805306368</v>
    <v>Bongbong Marcos (President)</v>
    <v>f7c45c07-8e0a-4068-b1e9-b2253baca0e4</v>
    <v>en-ID</v>
    <v>Generic</v>
  </rv>
  <rv s="0">
    <v>805306368</v>
    <v>Sara Duterte (Vice president)</v>
    <v>0cce571a-fcbe-deed-21b5-93ccb00a9659</v>
    <v>en-ID</v>
    <v>Generic</v>
  </rv>
  <rv s="0">
    <v>805306368</v>
    <v>Bojie Dy (Speaker)</v>
    <v>c4a9b42b-c8e5-cfbe-002a-b06faeb4a3b9</v>
    <v>en-ID</v>
    <v>Generic</v>
  </rv>
  <rv s="0">
    <v>805306368</v>
    <v>Alexander Gesmundo (Chief justice)</v>
    <v>0c0b44c1-58c1-0d6f-bc59-db94bbe6aba7</v>
    <v>en-ID</v>
    <v>Generic</v>
  </rv>
  <rv s="3">
    <v>20</v>
  </rv>
  <rv s="4">
    <v>https://www.bing.com/search?q=philippines&amp;form=skydnc</v>
    <v>Learn more on Bing</v>
  </rv>
  <rv s="1">
    <fb>71.094999999999999</fb>
    <v>28</v>
  </rv>
  <rv s="1">
    <fb>275302190000</fb>
    <v>30</v>
  </rv>
  <rv s="1">
    <fb>121</fb>
    <v>28</v>
  </rv>
  <rv s="1">
    <fb>1.1200000000000001</fb>
    <v>29</v>
  </rv>
  <rv s="3">
    <v>21</v>
  </rv>
  <rv s="1">
    <fb>0.53544594130000001</fb>
    <v>23</v>
  </rv>
  <rv s="1">
    <fb>0.60040000000000004</fb>
    <v>25</v>
  </rv>
  <rv s="1">
    <fb>112904458</fb>
    <v>24</v>
  </rv>
  <rv s="1">
    <fb>0.20699999999999999</fb>
    <v>23</v>
  </rv>
  <rv s="1">
    <fb>0.34799999999999998</fb>
    <v>23</v>
  </rv>
  <rv s="1">
    <fb>0.50900000000000001</fb>
    <v>23</v>
  </rv>
  <rv s="1">
    <fb>2.3E-2</fb>
    <v>23</v>
  </rv>
  <rv s="1">
    <fb>5.7000000000000002E-2</fb>
    <v>23</v>
  </rv>
  <rv s="1">
    <fb>9.3000000000000013E-2</fb>
    <v>23</v>
  </rv>
  <rv s="1">
    <fb>0.59620998382568402</fb>
    <v>23</v>
  </rv>
  <rv s="0">
    <v>536870912</v>
    <v>Metro Manila</v>
    <v>e5a6d40a-2913-d8a4-ff60-8a8e01d06a21</v>
    <v>en-ID</v>
    <v>Map</v>
  </rv>
  <rv s="3">
    <v>22</v>
  </rv>
  <rv s="1">
    <fb>0.14047533279066099</fb>
    <v>23</v>
  </rv>
  <rv s="3">
    <v>23</v>
  </rv>
  <rv s="1">
    <fb>0.43099999999999999</fb>
    <v>23</v>
  </rv>
  <rv s="1">
    <fb>2.1500000953674298E-2</fb>
    <v>31</v>
  </rv>
  <rv s="1">
    <fb>50975903</fb>
    <v>24</v>
  </rv>
  <rv s="6">
    <v>#VALUE!</v>
    <v>en-ID</v>
    <v>fe47e182-43d6-4546-8bee-86609d6dd805</v>
    <v>536870912</v>
    <v>1</v>
    <v>62</v>
    <v>37</v>
    <v>Philippines</v>
    <v>19</v>
    <v>20</v>
    <v>Map</v>
    <v>21</v>
    <v>63</v>
    <v>PH</v>
    <v>312</v>
    <v>313</v>
    <v>314</v>
    <v>315</v>
    <v>316</v>
    <v>317</v>
    <v>318</v>
    <v>319</v>
    <v>320</v>
    <v>PHP</v>
    <v>The Philippines, officially the Republic of the Philippines, is an archipelagic country in Southeast Asia. Located in the western Pacific Ocean, it consists of about 7,641 islands, with a total area of about 300,000 square kilometers, which are ...</v>
    <v>321</v>
    <v>322</v>
    <v>323</v>
    <v>324</v>
    <v>325</v>
    <v>326</v>
    <v>327</v>
    <v>328</v>
    <v>329</v>
    <v>330</v>
    <v>331</v>
    <v>336</v>
    <v>337</v>
    <v>338</v>
    <v>339</v>
    <v>340</v>
    <v>341</v>
    <v>Philippines</v>
    <v>Lupang Hinirang</v>
    <v>342</v>
    <v>Republic of the Philippines</v>
    <v>343</v>
    <v>344</v>
    <v>345</v>
    <v>346</v>
    <v>347</v>
    <v>348</v>
    <v>349</v>
    <v>350</v>
    <v>351</v>
    <v>78</v>
    <v>352</v>
    <v>354</v>
    <v>355</v>
    <v>356</v>
    <v>357</v>
    <v>358</v>
    <v>Philippines</v>
    <v>359</v>
    <v>mdp/vdpid/201</v>
  </rv>
  <rv s="0">
    <v>536870912</v>
    <v>Pakistan</v>
    <v>69cd8ccc-adba-8eeb-a48e-3e7229e9666c</v>
    <v>en-ID</v>
    <v>Map</v>
  </rv>
  <rv s="1">
    <fb>0.47794728102947304</fb>
    <v>23</v>
  </rv>
  <rv s="1">
    <fb>881913</fb>
    <v>24</v>
  </rv>
  <rv s="1">
    <fb>936000</fb>
    <v>24</v>
  </rv>
  <rv s="1">
    <fb>28.25</fb>
    <v>25</v>
  </rv>
  <rv s="1">
    <fb>92</fb>
    <v>26</v>
  </rv>
  <rv s="0">
    <v>536870912</v>
    <v>Islamabad</v>
    <v>7d6db4a7-d08a-aa85-d6ce-6cb15b346bdf</v>
    <v>en-ID</v>
    <v>Map</v>
  </rv>
  <rv s="1">
    <fb>201149.61799999999</fb>
    <v>24</v>
  </rv>
  <rv s="1">
    <fb>182.32038637269201</fb>
    <v>27</v>
  </rv>
  <rv s="1">
    <fb>0.105780304680861</fb>
    <v>23</v>
  </rv>
  <rv s="1">
    <fb>447.50100258913102</fb>
    <v>24</v>
  </rv>
  <rv s="1">
    <fb>3.51</fb>
    <v>25</v>
  </rv>
  <rv s="1">
    <fb>1.8537256122872599E-2</fb>
    <v>23</v>
  </rv>
  <rv s="1">
    <fb>61.585361451111801</fb>
    <v>28</v>
  </rv>
  <rv s="1">
    <fb>0.79</fb>
    <v>29</v>
  </rv>
  <rv s="1">
    <fb>304400000000</fb>
    <v>30</v>
  </rv>
  <rv s="1">
    <fb>0.94328199999999995</fb>
    <v>23</v>
  </rv>
  <rv s="1">
    <fb>8.9584200000000003E-2</fb>
    <v>23</v>
  </rv>
  <rv s="2">
    <v>6</v>
    <v>21</v>
    <v>65</v>
    <v>7</v>
    <v>0</v>
    <v>Image of Pakistan</v>
  </rv>
  <rv s="1">
    <fb>57.2</fb>
    <v>28</v>
  </rv>
  <rv s="0">
    <v>536870912</v>
    <v>Karachi</v>
    <v>8868147b-7b38-6de8-cdbe-567b934b7f8f</v>
    <v>en-ID</v>
    <v>Map</v>
  </rv>
  <rv s="0">
    <v>805306368</v>
    <v>Asif Ali Zardari (President)</v>
    <v>df329bc3-92e8-3cf5-5f08-1607a3fed39a</v>
    <v>en-ID</v>
    <v>Generic</v>
  </rv>
  <rv s="0">
    <v>805306368</v>
    <v>Shehbaz Sharif (Prime minister)</v>
    <v>ff9ce646-2a0f-edb8-dc17-d145d13164e5</v>
    <v>en-ID</v>
    <v>Generic</v>
  </rv>
  <rv s="3">
    <v>24</v>
  </rv>
  <rv s="4">
    <v>https://www.bing.com/search?q=pakistan&amp;form=skydnc</v>
    <v>Learn more on Bing</v>
  </rv>
  <rv s="1">
    <fb>67.114000000000004</fb>
    <v>28</v>
  </rv>
  <rv s="1">
    <fb>91863740000</fb>
    <v>30</v>
  </rv>
  <rv s="1">
    <fb>140</fb>
    <v>28</v>
  </rv>
  <rv s="1">
    <fb>0.69</fb>
    <v>29</v>
  </rv>
  <rv s="3">
    <v>25</v>
  </rv>
  <rv s="1">
    <fb>0.66485154850000006</fb>
    <v>23</v>
  </rv>
  <rv s="1">
    <fb>0.98009999999999997</fb>
    <v>25</v>
  </rv>
  <rv s="1">
    <fb>257047044</fb>
    <v>24</v>
  </rv>
  <rv s="1">
    <fb>0.20499999999999999</fb>
    <v>23</v>
  </rv>
  <rv s="1">
    <fb>0.28899999999999998</fb>
    <v>23</v>
  </rv>
  <rv s="1">
    <fb>0.42799999999999999</fb>
    <v>23</v>
  </rv>
  <rv s="1">
    <fb>3.9E-2</fb>
    <v>23</v>
  </rv>
  <rv s="1">
    <fb>8.900000000000001E-2</fb>
    <v>23</v>
  </rv>
  <rv s="1">
    <fb>0.122</fb>
    <v>23</v>
  </rv>
  <rv s="1">
    <fb>0.156</fb>
    <v>23</v>
  </rv>
  <rv s="1">
    <fb>0.52573001861572299</fb>
    <v>23</v>
  </rv>
  <rv s="0">
    <v>536870912</v>
    <v>Balochistan, Pakistan</v>
    <v>733099a6-8f86-3bae-4e33-98665caeb458</v>
    <v>en-ID</v>
    <v>Map</v>
  </rv>
  <rv s="0">
    <v>536870912</v>
    <v>Khyber Pakhtunkhwa</v>
    <v>2dd079f9-a4d7-b9c3-14aa-dabebc56c591</v>
    <v>en-ID</v>
    <v>Map</v>
  </rv>
  <rv s="0">
    <v>536870912</v>
    <v>Punjab, Pakistan</v>
    <v>eaa769c5-d61b-fc82-0dfe-db1696c1a676</v>
    <v>en-ID</v>
    <v>Map</v>
  </rv>
  <rv s="0">
    <v>536870912</v>
    <v>Sindh</v>
    <v>bf0a27ee-81c5-5e2b-6404-af7d886475be</v>
    <v>en-ID</v>
    <v>Map</v>
  </rv>
  <rv s="0">
    <v>536870912</v>
    <v>Islamabad Capital Territory</v>
    <v>70c2750b-d15b-bbdc-9a7c-b361fbe14a63</v>
    <v>en-ID</v>
    <v>Map</v>
  </rv>
  <rv s="0">
    <v>536870912</v>
    <v>Gilgit-Baltistan</v>
    <v>3eb3f6b8-31d3-1e23-5d0f-a767a6a8102a</v>
    <v>en-ID</v>
    <v>Map</v>
  </rv>
  <rv s="0">
    <v>536870912</v>
    <v>Azad Kashmir</v>
    <v>5eb14a38-253f-8bea-4327-9023007fb366</v>
    <v>en-ID</v>
    <v>Map</v>
  </rv>
  <rv s="3">
    <v>26</v>
  </rv>
  <rv s="1">
    <fb>9.1886767882585402E-2</fb>
    <v>23</v>
  </rv>
  <rv s="3">
    <v>27</v>
  </rv>
  <rv s="1">
    <fb>0.33899999999999997</fb>
    <v>23</v>
  </rv>
  <rv s="1">
    <fb>4.4530000686645498E-2</fb>
    <v>31</v>
  </rv>
  <rv s="1">
    <fb>79927762</fb>
    <v>24</v>
  </rv>
  <rv s="6">
    <v>#VALUE!</v>
    <v>en-ID</v>
    <v>69cd8ccc-adba-8eeb-a48e-3e7229e9666c</v>
    <v>536870912</v>
    <v>1</v>
    <v>69</v>
    <v>37</v>
    <v>Pakistan</v>
    <v>19</v>
    <v>20</v>
    <v>Map</v>
    <v>21</v>
    <v>70</v>
    <v>PK</v>
    <v>362</v>
    <v>363</v>
    <v>364</v>
    <v>365</v>
    <v>366</v>
    <v>367</v>
    <v>368</v>
    <v>369</v>
    <v>370</v>
    <v>PKR</v>
    <v>Pakistan, officially the Islamic Republic of Pakistan, is a country in South Asia. It is the fifth-most populous country, with a population of over 241.5 million, having the second-largest Muslim population as of 2023. Islamabad is the nation's ...</v>
    <v>371</v>
    <v>372</v>
    <v>373</v>
    <v>374</v>
    <v>375</v>
    <v>376</v>
    <v>377</v>
    <v>378</v>
    <v>379</v>
    <v>380</v>
    <v>381</v>
    <v>384</v>
    <v>385</v>
    <v>386</v>
    <v>387</v>
    <v>388</v>
    <v>389</v>
    <v>Pakistan</v>
    <v>Qaumi Taranah</v>
    <v>390</v>
    <v>اسلامی جمہوریہ پاكستان</v>
    <v>391</v>
    <v>392</v>
    <v>393</v>
    <v>394</v>
    <v>395</v>
    <v>396</v>
    <v>397</v>
    <v>398</v>
    <v>399</v>
    <v>400</v>
    <v>401</v>
    <v>409</v>
    <v>410</v>
    <v>411</v>
    <v>412</v>
    <v>413</v>
    <v>Pakistan</v>
    <v>414</v>
    <v>mdp/vdpid/190</v>
  </rv>
  <rv s="0">
    <v>536870912</v>
    <v>Malawi</v>
    <v>ea88d001-8d7b-94df-0326-28dd7c25ee20</v>
    <v>en-ID</v>
    <v>Map</v>
  </rv>
  <rv s="1">
    <fb>0.61412812897751401</fb>
    <v>23</v>
  </rv>
  <rv s="1">
    <fb>118484</fb>
    <v>24</v>
  </rv>
  <rv s="1">
    <fb>15000</fb>
    <v>24</v>
  </rv>
  <rv s="1">
    <fb>34.118000000000002</fb>
    <v>25</v>
  </rv>
  <rv s="1">
    <fb>265</fb>
    <v>26</v>
  </rv>
  <rv s="0">
    <v>536870912</v>
    <v>Lilongwe</v>
    <v>8ee8ebd1-3df0-a3b5-3d70-d8e0924b7ca7</v>
    <v>en-ID</v>
    <v>Map</v>
  </rv>
  <rv s="1">
    <fb>1298.1179999999999</fb>
    <v>24</v>
  </rv>
  <rv s="1">
    <fb>418.344325525805</fb>
    <v>27</v>
  </rv>
  <rv s="1">
    <fb>9.3708360560567208E-2</fb>
    <v>23</v>
  </rv>
  <rv s="1">
    <fb>4.2089999999999996</fb>
    <v>25</v>
  </rv>
  <rv s="1">
    <fb>0.33188375053033503</fb>
    <v>23</v>
  </rv>
  <rv s="1">
    <fb>1.1499999999999999</fb>
    <v>29</v>
  </rv>
  <rv s="1">
    <fb>7666704427.0091496</fb>
    <v>30</v>
  </rv>
  <rv s="1">
    <fb>1.4245782</fb>
    <v>23</v>
  </rv>
  <rv s="1">
    <fb>8.2387999999999992E-3</fb>
    <v>23</v>
  </rv>
  <rv s="2">
    <v>7</v>
    <v>21</v>
    <v>72</v>
    <v>7</v>
    <v>0</v>
    <v>Image of Malawi</v>
  </rv>
  <rv s="1">
    <fb>35.299999999999997</fb>
    <v>28</v>
  </rv>
  <rv s="0">
    <v>805306368</v>
    <v>Peter Mutharika (President)</v>
    <v>43d12fb8-268f-2da5-095d-0ea191a62256</v>
    <v>en-ID</v>
    <v>Generic</v>
  </rv>
  <rv s="0">
    <v>805306368</v>
    <v>Jane Ansah (Vice president)</v>
    <v>b7f81e96-e24f-f7c2-db37-b2a030716f52</v>
    <v>en-ID</v>
    <v>Generic</v>
  </rv>
  <rv s="0">
    <v>805306368</v>
    <v>Sameer Suleman (Speaker)</v>
    <v>ad4a67c9-ad42-6bde-9b98-d2cbd2518be3</v>
    <v>en-ID</v>
    <v>Generic</v>
  </rv>
  <rv s="0">
    <v>805306368</v>
    <v>Rizine Mzikamanda (Chief justice)</v>
    <v>1a5d8e52-6806-3541-454f-2de01bcc12f6</v>
    <v>en-ID</v>
    <v>Generic</v>
  </rv>
  <rv s="3">
    <v>28</v>
  </rv>
  <rv s="4">
    <v>https://www.bing.com/search?q=malawi&amp;form=skydnc</v>
    <v>Learn more on Bing</v>
  </rv>
  <rv s="1">
    <fb>63.798000000000002</fb>
    <v>28</v>
  </rv>
  <rv s="1">
    <fb>349</fb>
    <v>28</v>
  </rv>
  <rv s="1">
    <fb>0.12</fb>
    <v>29</v>
  </rv>
  <rv s="3">
    <v>29</v>
  </rv>
  <rv s="1">
    <fb>0.10981896049999999</fb>
    <v>23</v>
  </rv>
  <rv s="1">
    <fb>3.5799999999999998E-2</fb>
    <v>25</v>
  </rv>
  <rv s="1">
    <fb>20550954</fb>
    <v>24</v>
  </rv>
  <rv s="1">
    <fb>0.188</fb>
    <v>23</v>
  </rv>
  <rv s="1">
    <fb>0.38100000000000001</fb>
    <v>23</v>
  </rv>
  <rv s="1">
    <fb>2.6000000000000002E-2</fb>
    <v>23</v>
  </rv>
  <rv s="1">
    <fb>6.4000000000000001E-2</fb>
    <v>23</v>
  </rv>
  <rv s="1">
    <fb>9.8000000000000004E-2</fb>
    <v>23</v>
  </rv>
  <rv s="1">
    <fb>0.13300000000000001</fb>
    <v>23</v>
  </rv>
  <rv s="1">
    <fb>0.76718002319335898</fb>
    <v>23</v>
  </rv>
  <rv s="1">
    <fb>0.17253667002529302</fb>
    <v>23</v>
  </rv>
  <rv s="3">
    <v>30</v>
  </rv>
  <rv s="1">
    <fb>0.34499999999999997</fb>
    <v>23</v>
  </rv>
  <rv s="1">
    <fb>5.6529998779296903E-2</fb>
    <v>31</v>
  </rv>
  <rv s="1">
    <fb>3199301</fb>
    <v>24</v>
  </rv>
  <rv s="8">
    <v>#VALUE!</v>
    <v>en-ID</v>
    <v>ea88d001-8d7b-94df-0326-28dd7c25ee20</v>
    <v>536870912</v>
    <v>1</v>
    <v>75</v>
    <v>76</v>
    <v>Malawi</v>
    <v>19</v>
    <v>20</v>
    <v>Map</v>
    <v>21</v>
    <v>77</v>
    <v>MW</v>
    <v>417</v>
    <v>418</v>
    <v>419</v>
    <v>420</v>
    <v>421</v>
    <v>422</v>
    <v>423</v>
    <v>424</v>
    <v>425</v>
    <v>MWK</v>
    <v>Malawi, officially the Republic of Malawi, is a landlocked country in Southeast Africa. It is bordered by Zambia to the west, Tanzania to the north and northeast, and Mozambique to the east, south, and southwest. Malawi spans over 118,484 km² ...</v>
    <v>426</v>
    <v>427</v>
    <v>428</v>
    <v>429</v>
    <v>430</v>
    <v>431</v>
    <v>432</v>
    <v>433</v>
    <v>422</v>
    <v>438</v>
    <v>439</v>
    <v>440</v>
    <v>441</v>
    <v>442</v>
    <v>Malawi</v>
    <v>Mlungu dalitsani Malaŵi</v>
    <v>443</v>
    <v>Malawi</v>
    <v>444</v>
    <v>445</v>
    <v>446</v>
    <v>447</v>
    <v>448</v>
    <v>74</v>
    <v>449</v>
    <v>450</v>
    <v>451</v>
    <v>452</v>
    <v>453</v>
    <v>454</v>
    <v>455</v>
    <v>456</v>
    <v>457</v>
    <v>Malawi</v>
    <v>458</v>
    <v>mdp/vdpid/156</v>
  </rv>
  <rv s="0">
    <v>536870912</v>
    <v>Botswana</v>
    <v>8aa19277-27e8-6def-a3e1-47929d921d30</v>
    <v>en-ID</v>
    <v>Map</v>
  </rv>
  <rv s="1">
    <fb>0.45633016797019699</fb>
    <v>23</v>
  </rv>
  <rv s="1">
    <fb>581737</fb>
    <v>24</v>
  </rv>
  <rv s="1">
    <fb>9000</fb>
    <v>24</v>
  </rv>
  <rv s="1">
    <fb>24.821000000000002</fb>
    <v>25</v>
  </rv>
  <rv s="1">
    <fb>267</fb>
    <v>26</v>
  </rv>
  <rv s="0">
    <v>536870912</v>
    <v>Gaborone</v>
    <v>5609d0f5-9932-65c1-b698-73699641cba2</v>
    <v>en-ID</v>
    <v>Map</v>
  </rv>
  <rv s="1">
    <fb>6340.2430000000004</fb>
    <v>24</v>
  </rv>
  <rv s="1">
    <fb>149.75369875886699</fb>
    <v>27</v>
  </rv>
  <rv s="1">
    <fb>2.7728644286333003E-2</fb>
    <v>23</v>
  </rv>
  <rv s="1">
    <fb>1815.5580686522301</fb>
    <v>24</v>
  </rv>
  <rv s="1">
    <fb>2.8740000000000001</fb>
    <v>25</v>
  </rv>
  <rv s="1">
    <fb>0.189469408795855</fb>
    <v>23</v>
  </rv>
  <rv s="1">
    <fb>74.6879840737883</fb>
    <v>28</v>
  </rv>
  <rv s="1">
    <fb>0.71</fb>
    <v>29</v>
  </rv>
  <rv s="1">
    <fb>18340510789.4272</fb>
    <v>30</v>
  </rv>
  <rv s="1">
    <fb>1.0323838999999999</fb>
    <v>23</v>
  </rv>
  <rv s="1">
    <fb>0.24859970000000001</fb>
    <v>23</v>
  </rv>
  <rv s="2">
    <v>8</v>
    <v>21</v>
    <v>79</v>
    <v>7</v>
    <v>0</v>
    <v>Image of Botswana</v>
  </rv>
  <rv s="1">
    <fb>30</fb>
    <v>28</v>
  </rv>
  <rv s="0">
    <v>805306368</v>
    <v>Duma Boko (President)</v>
    <v>99d42fa7-7a54-7636-1483-f5420ad449a6</v>
    <v>en-ID</v>
    <v>Generic</v>
  </rv>
  <rv s="0">
    <v>805306368</v>
    <v>Ndaba Gaolathe (Vice president)</v>
    <v>13b30f5f-dfc6-0ef3-881e-35a1e7a31481</v>
    <v>en-ID</v>
    <v>Generic</v>
  </rv>
  <rv s="3">
    <v>31</v>
  </rv>
  <rv s="4">
    <v>https://www.bing.com/search?q=botswana&amp;form=skydnc</v>
    <v>Learn more on Bing</v>
  </rv>
  <rv s="1">
    <fb>69.275000000000006</fb>
    <v>28</v>
  </rv>
  <rv s="1">
    <fb>977610000</fb>
    <v>30</v>
  </rv>
  <rv s="1">
    <fb>144</fb>
    <v>28</v>
  </rv>
  <rv s="1">
    <fb>0.28999999999999998</fb>
    <v>29</v>
  </rv>
  <rv s="1">
    <fb>5.2608499999999996E-2</fb>
    <v>23</v>
  </rv>
  <rv s="1">
    <fb>0.36880000000000002</fb>
    <v>25</v>
  </rv>
  <rv s="1">
    <fb>2521534</fb>
    <v>24</v>
  </rv>
  <rv s="1">
    <fb>0.19500000000000001</fb>
    <v>23</v>
  </rv>
  <rv s="1">
    <fb>0.41499999999999998</fb>
    <v>23</v>
  </rv>
  <rv s="1">
    <fb>0.58499999999999996</fb>
    <v>23</v>
  </rv>
  <rv s="1">
    <fb>1.4999999999999999E-2</fb>
    <v>23</v>
  </rv>
  <rv s="1">
    <fb>7.0000000000000007E-2</fb>
    <v>23</v>
  </rv>
  <rv s="1">
    <fb>0.111</fb>
    <v>23</v>
  </rv>
  <rv s="1">
    <fb>0.70819999694824209</fb>
    <v>23</v>
  </rv>
  <rv s="0">
    <v>536870912</v>
    <v>Central District</v>
    <v>5a59f96f-2e8b-418f-ce75-352be10aa630</v>
    <v>en-ID</v>
    <v>Map</v>
  </rv>
  <rv s="0">
    <v>536870912</v>
    <v>Ghanzi District</v>
    <v>1c8a9f6e-7b9d-d8cf-b717-90bd029cb152</v>
    <v>en-ID</v>
    <v>Map</v>
  </rv>
  <rv s="0">
    <v>536870912</v>
    <v>Kgalagadi District</v>
    <v>2c25ab3f-f6f0-b1cc-9c70-b5fb8e82502c</v>
    <v>en-ID</v>
    <v>Map</v>
  </rv>
  <rv s="0">
    <v>536870912</v>
    <v>Kgatleng District</v>
    <v>ac2497a9-9802-58ef-220d-ca6fd0c4f68c</v>
    <v>en-ID</v>
    <v>Map</v>
  </rv>
  <rv s="0">
    <v>536870912</v>
    <v>Kweneng District</v>
    <v>18aefd8f-46c2-6167-c82a-acb3d55936b2</v>
    <v>en-ID</v>
    <v>Map</v>
  </rv>
  <rv s="0">
    <v>536870912</v>
    <v>North-East District</v>
    <v>8c38eee8-a3d2-19ad-4893-f762c50add09</v>
    <v>en-ID</v>
    <v>Map</v>
  </rv>
  <rv s="0">
    <v>536870912</v>
    <v>North-West District</v>
    <v>e72eefa7-02e2-3ed3-d2c9-5598ebb2288b</v>
    <v>en-ID</v>
    <v>Map</v>
  </rv>
  <rv s="0">
    <v>536870912</v>
    <v>South-East District</v>
    <v>70f9f2fb-580d-debb-7ba5-fd99ee462d53</v>
    <v>en-ID</v>
    <v>Map</v>
  </rv>
  <rv s="0">
    <v>536870912</v>
    <v>Southern District</v>
    <v>7171f0fe-bba5-fa98-90c5-d45a0d2077ab</v>
    <v>en-ID</v>
    <v>Map</v>
  </rv>
  <rv s="3">
    <v>32</v>
  </rv>
  <rv s="1">
    <fb>0.19548510153898799</fb>
    <v>23</v>
  </rv>
  <rv s="3">
    <v>33</v>
  </rv>
  <rv s="1">
    <fb>0.251</fb>
    <v>23</v>
  </rv>
  <rv s="1">
    <fb>0.18193000793456998</fb>
    <v>31</v>
  </rv>
  <rv s="1">
    <fb>1616550</fb>
    <v>24</v>
  </rv>
  <rv s="6">
    <v>#VALUE!</v>
    <v>en-ID</v>
    <v>8aa19277-27e8-6def-a3e1-47929d921d30</v>
    <v>536870912</v>
    <v>1</v>
    <v>82</v>
    <v>37</v>
    <v>Botswana</v>
    <v>19</v>
    <v>20</v>
    <v>Map</v>
    <v>21</v>
    <v>83</v>
    <v>BW</v>
    <v>461</v>
    <v>462</v>
    <v>463</v>
    <v>464</v>
    <v>465</v>
    <v>466</v>
    <v>467</v>
    <v>468</v>
    <v>469</v>
    <v>BWP</v>
    <v>Botswana, officially the Republic of Botswana, is a landlocked country in Southern Africa. Botswana is topographically flat, with approximately 70% of its territory being a part of the Kalahari Desert. It is bordered by South Africa to the south ...</v>
    <v>470</v>
    <v>471</v>
    <v>472</v>
    <v>473</v>
    <v>474</v>
    <v>475</v>
    <v>476</v>
    <v>477</v>
    <v>478</v>
    <v>479</v>
    <v>466</v>
    <v>482</v>
    <v>483</v>
    <v>484</v>
    <v>485</v>
    <v>486</v>
    <v>487</v>
    <v>Botswana</v>
    <v>Fatshe leno la rona</v>
    <v>443</v>
    <v>Botswana</v>
    <v>488</v>
    <v>489</v>
    <v>490</v>
    <v>491</v>
    <v>492</v>
    <v>493</v>
    <v>494</v>
    <v>397</v>
    <v>495</v>
    <v>496</v>
    <v>497</v>
    <v>507</v>
    <v>508</v>
    <v>509</v>
    <v>510</v>
    <v>511</v>
    <v>Botswana</v>
    <v>512</v>
    <v>mdp/vdpid/19</v>
  </rv>
  <rv s="0">
    <v>536870912</v>
    <v>Nigeria</v>
    <v>f8afbbd6-9c3e-02be-7cb2-eac695e2da02</v>
    <v>en-ID</v>
    <v>Map</v>
  </rv>
  <rv s="1">
    <fb>0.77736420830725605</fb>
    <v>23</v>
  </rv>
  <rv s="1">
    <fb>923768</fb>
    <v>24</v>
  </rv>
  <rv s="1">
    <fb>215000</fb>
    <v>24</v>
  </rv>
  <rv s="1">
    <fb>37.905000000000001</fb>
    <v>25</v>
  </rv>
  <rv s="1">
    <fb>234</fb>
    <v>26</v>
  </rv>
  <rv s="0">
    <v>536870912</v>
    <v>Abuja</v>
    <v>c82a7acc-0007-36fc-7343-e970618e072d</v>
    <v>en-ID</v>
    <v>Map</v>
  </rv>
  <rv s="1">
    <fb>120369.27499999999</fb>
    <v>24</v>
  </rv>
  <rv s="1">
    <fb>267.51151513417602</fb>
    <v>27</v>
  </rv>
  <rv s="1">
    <fb>0.113967949687168</fb>
    <v>23</v>
  </rv>
  <rv s="1">
    <fb>144.525462223266</fb>
    <v>24</v>
  </rv>
  <rv s="1">
    <fb>5.3869999999999996</fb>
    <v>25</v>
  </rv>
  <rv s="1">
    <fb>7.2283890579880203E-2</fb>
    <v>23</v>
  </rv>
  <rv s="1">
    <fb>18.876766756620999</fb>
    <v>28</v>
  </rv>
  <rv s="1">
    <fb>0.46</fb>
    <v>29</v>
  </rv>
  <rv s="1">
    <fb>448120428858.76898</fb>
    <v>30</v>
  </rv>
  <rv s="1">
    <fb>0.84725640000000002</fb>
    <v>23</v>
  </rv>
  <rv s="1">
    <fb>0.1017443</fb>
    <v>23</v>
  </rv>
  <rv s="2">
    <v>9</v>
    <v>21</v>
    <v>85</v>
    <v>7</v>
    <v>0</v>
    <v>Image of Nigeria</v>
  </rv>
  <rv s="1">
    <fb>75.7</fb>
    <v>28</v>
  </rv>
  <rv s="0">
    <v>536870912</v>
    <v>Lagos</v>
    <v>f9b45ba3-39cb-62a0-eb5c-1209a05fb3da</v>
    <v>en-ID</v>
    <v>Map</v>
  </rv>
  <rv s="0">
    <v>805306368</v>
    <v>Bola Tinubu (President)</v>
    <v>0bab946b-fc6e-b461-0758-014e137942c4</v>
    <v>en-ID</v>
    <v>Generic</v>
  </rv>
  <rv s="0">
    <v>805306368</v>
    <v>Kashim Shettima (Vice president)</v>
    <v>c19ad62c-de0d-617d-28ae-10ab8db975f8</v>
    <v>en-ID</v>
    <v>Generic</v>
  </rv>
  <rv s="0">
    <v>805306368</v>
    <v>Tajudeen Abbas (Speaker)</v>
    <v>d3886a52-f1ee-65f9-9ef4-fdfa53130483</v>
    <v>en-ID</v>
    <v>Generic</v>
  </rv>
  <rv s="0">
    <v>805306368</v>
    <v>Kudirat Kekere-Ekun (Chief justice)</v>
    <v>e0b78dc3-1346-97f8-4f68-5604a3efde81</v>
    <v>en-ID</v>
    <v>Generic</v>
  </rv>
  <rv s="3">
    <v>34</v>
  </rv>
  <rv s="4">
    <v>https://www.bing.com/search?q=nigeria&amp;form=skydnc</v>
    <v>Learn more on Bing</v>
  </rv>
  <rv s="1">
    <fb>54.332000000000001</fb>
    <v>28</v>
  </rv>
  <rv s="1">
    <fb>43921600000</fb>
    <v>30</v>
  </rv>
  <rv s="1">
    <fb>917</fb>
    <v>28</v>
  </rv>
  <rv s="1">
    <fb>0.54</fb>
    <v>29</v>
  </rv>
  <rv s="3">
    <v>35</v>
  </rv>
  <rv s="1">
    <fb>0.72238616980000003</fb>
    <v>23</v>
  </rv>
  <rv s="1">
    <fb>0.38059999999999999</fb>
    <v>25</v>
  </rv>
  <rv s="1">
    <fb>244344065</fb>
    <v>24</v>
  </rv>
  <rv s="1">
    <fb>0.21600000000000003</fb>
    <v>23</v>
  </rv>
  <rv s="1">
    <fb>0.32700000000000001</fb>
    <v>23</v>
  </rv>
  <rv s="1">
    <fb>0.49</fb>
    <v>23</v>
  </rv>
  <rv s="1">
    <fb>9.6999999999999989E-2</fb>
    <v>23</v>
  </rv>
  <rv s="1">
    <fb>0.14400000000000002</fb>
    <v>23</v>
  </rv>
  <rv s="1">
    <fb>0.52907001495361294</fb>
    <v>23</v>
  </rv>
  <rv s="0">
    <v>536870912</v>
    <v>Abia State</v>
    <v>69b8a646-2ce1-bbd4-2133-6a3e8ccd7216</v>
    <v>en-ID</v>
    <v>Map</v>
  </rv>
  <rv s="0">
    <v>536870912</v>
    <v>Adamawa State</v>
    <v>89e5889b-a771-6d19-8318-bdbc1b461471</v>
    <v>en-ID</v>
    <v>Map</v>
  </rv>
  <rv s="0">
    <v>536870912</v>
    <v>Akwa Ibom State</v>
    <v>db375712-d1b5-7800-f3bf-f5682e9c4b9f</v>
    <v>en-ID</v>
    <v>Map</v>
  </rv>
  <rv s="0">
    <v>536870912</v>
    <v>Anambra State</v>
    <v>a4e8fb7a-e9a1-e893-4f70-23580f99b653</v>
    <v>en-ID</v>
    <v>Map</v>
  </rv>
  <rv s="0">
    <v>536870912</v>
    <v>Bauchi State</v>
    <v>72aa6eb8-97d7-2620-c490-937972d163b7</v>
    <v>en-ID</v>
    <v>Map</v>
  </rv>
  <rv s="0">
    <v>536870912</v>
    <v>Bayelsa State</v>
    <v>df2489d2-29f0-e5cd-4972-a1eae029e08e</v>
    <v>en-ID</v>
    <v>Map</v>
  </rv>
  <rv s="0">
    <v>536870912</v>
    <v>Benue State</v>
    <v>da448603-05b5-1cc7-5b90-e2f74bcb7e4b</v>
    <v>en-ID</v>
    <v>Map</v>
  </rv>
  <rv s="0">
    <v>536870912</v>
    <v>Borno State</v>
    <v>f2c07e45-570f-e47c-13ec-ca77b5c8fadc</v>
    <v>en-ID</v>
    <v>Map</v>
  </rv>
  <rv s="0">
    <v>536870912</v>
    <v>Cross River State</v>
    <v>ae57951f-2c0a-25da-f239-0d304fb7957b</v>
    <v>en-ID</v>
    <v>Map</v>
  </rv>
  <rv s="0">
    <v>536870912</v>
    <v>Delta State</v>
    <v>2bf2d4ef-c065-a0b4-022f-0e19dee39b09</v>
    <v>en-ID</v>
    <v>Map</v>
  </rv>
  <rv s="0">
    <v>536870912</v>
    <v>Ebonyi State</v>
    <v>4c7ea440-73b2-dafe-8923-4db635cf8052</v>
    <v>en-ID</v>
    <v>Map</v>
  </rv>
  <rv s="0">
    <v>536870912</v>
    <v>Edo State</v>
    <v>9746883b-174d-225c-3658-96453ede7f6d</v>
    <v>en-ID</v>
    <v>Map</v>
  </rv>
  <rv s="0">
    <v>536870912</v>
    <v>Ekiti State</v>
    <v>0c095d44-2cfe-b1f5-cd64-79be6091a31b</v>
    <v>en-ID</v>
    <v>Map</v>
  </rv>
  <rv s="0">
    <v>536870912</v>
    <v>Enugu State</v>
    <v>3b086e6a-3058-6d2a-de5f-baecb67e0cba</v>
    <v>en-ID</v>
    <v>Map</v>
  </rv>
  <rv s="0">
    <v>536870912</v>
    <v>Gombe State</v>
    <v>c151d028-70dc-772d-4ea0-e039483e1792</v>
    <v>en-ID</v>
    <v>Map</v>
  </rv>
  <rv s="0">
    <v>536870912</v>
    <v>Imo State</v>
    <v>f23675dc-04a2-53d5-4cf1-d0b7dbeb81f0</v>
    <v>en-ID</v>
    <v>Map</v>
  </rv>
  <rv s="0">
    <v>536870912</v>
    <v>Jigawa State</v>
    <v>ad936f43-f8d5-695e-67fe-01235468d235</v>
    <v>en-ID</v>
    <v>Map</v>
  </rv>
  <rv s="0">
    <v>536870912</v>
    <v>Kaduna State</v>
    <v>a7b69a0f-8fdd-f577-c080-676a34d982f5</v>
    <v>en-ID</v>
    <v>Map</v>
  </rv>
  <rv s="0">
    <v>536870912</v>
    <v>Kano State</v>
    <v>2aa68b5e-36e3-9059-a512-620918fc1982</v>
    <v>en-ID</v>
    <v>Map</v>
  </rv>
  <rv s="0">
    <v>536870912</v>
    <v>Katsina State</v>
    <v>1ba9a23e-5c1c-5d07-a6f9-d9dd468364e6</v>
    <v>en-ID</v>
    <v>Map</v>
  </rv>
  <rv s="0">
    <v>536870912</v>
    <v>Kebbi State</v>
    <v>fd975f01-e997-df8c-4f64-1fee0565999f</v>
    <v>en-ID</v>
    <v>Map</v>
  </rv>
  <rv s="0">
    <v>536870912</v>
    <v>Kogi State</v>
    <v>5d30659c-4b14-04f8-8ac5-87b90f387204</v>
    <v>en-ID</v>
    <v>Map</v>
  </rv>
  <rv s="0">
    <v>536870912</v>
    <v>Kwara State</v>
    <v>90b9bd60-65cf-3dfc-cae9-f9b1c9144511</v>
    <v>en-ID</v>
    <v>Map</v>
  </rv>
  <rv s="0">
    <v>536870912</v>
    <v>Lagos State</v>
    <v>6b2d76ff-8165-4482-0d57-dd54baace481</v>
    <v>en-ID</v>
    <v>Map</v>
  </rv>
  <rv s="0">
    <v>536870912</v>
    <v>Nasarawa State</v>
    <v>54e320be-1f01-765f-270a-0e37cfc1e3d3</v>
    <v>en-ID</v>
    <v>Map</v>
  </rv>
  <rv s="0">
    <v>536870912</v>
    <v>Niger State</v>
    <v>5aaa0ce5-04d0-4e26-26b1-0e9999d947b5</v>
    <v>en-ID</v>
    <v>Map</v>
  </rv>
  <rv s="0">
    <v>536870912</v>
    <v>Ogun State</v>
    <v>89c68e8c-3fbe-ea3a-5b78-bbe7a4b8a425</v>
    <v>en-ID</v>
    <v>Map</v>
  </rv>
  <rv s="0">
    <v>536870912</v>
    <v>Ondo State</v>
    <v>74a24d20-a917-b2f1-c213-f1e7d4e97b6b</v>
    <v>en-ID</v>
    <v>Map</v>
  </rv>
  <rv s="0">
    <v>536870912</v>
    <v>Osun State</v>
    <v>2c145d0d-29b4-3b0c-65ca-7da5ed30592a</v>
    <v>en-ID</v>
    <v>Map</v>
  </rv>
  <rv s="0">
    <v>536870912</v>
    <v>Oyo State</v>
    <v>712d990a-9716-897a-2f3f-75a7abe71338</v>
    <v>en-ID</v>
    <v>Map</v>
  </rv>
  <rv s="0">
    <v>536870912</v>
    <v>Plateau State</v>
    <v>1553fa7c-b7d1-d2b8-d1fa-0d027642e02e</v>
    <v>en-ID</v>
    <v>Map</v>
  </rv>
  <rv s="0">
    <v>536870912</v>
    <v>Rivers State</v>
    <v>89671e89-503e-c579-0555-aa21f65a113c</v>
    <v>en-ID</v>
    <v>Map</v>
  </rv>
  <rv s="0">
    <v>536870912</v>
    <v>Sokoto State</v>
    <v>8cef5263-b25e-1f7a-dcc4-b85f5a2d81f4</v>
    <v>en-ID</v>
    <v>Map</v>
  </rv>
  <rv s="0">
    <v>536870912</v>
    <v>Taraba State</v>
    <v>ab8e951e-d2de-b17d-556a-131a8a77c6e8</v>
    <v>en-ID</v>
    <v>Map</v>
  </rv>
  <rv s="0">
    <v>536870912</v>
    <v>Yobe State</v>
    <v>2daeda9e-391e-81ce-fbc9-6f5a21e532eb</v>
    <v>en-ID</v>
    <v>Map</v>
  </rv>
  <rv s="0">
    <v>536870912</v>
    <v>Zamfara State</v>
    <v>67d27c6a-27da-4f16-656d-b93176fee807</v>
    <v>en-ID</v>
    <v>Map</v>
  </rv>
  <rv s="0">
    <v>536870912</v>
    <v>Federal Capital Territory</v>
    <v>58b26f4f-fe98-5f41-4126-771b8d675bec</v>
    <v>en-ID</v>
    <v>Map</v>
  </rv>
  <rv s="3">
    <v>36</v>
  </rv>
  <rv s="1">
    <fb>1.4825336684568799E-2</fb>
    <v>23</v>
  </rv>
  <rv s="3">
    <v>37</v>
  </rv>
  <rv s="1">
    <fb>8.0959997177124002E-2</fb>
    <v>31</v>
  </rv>
  <rv s="1">
    <fb>102806948</fb>
    <v>24</v>
  </rv>
  <rv s="6">
    <v>#VALUE!</v>
    <v>en-ID</v>
    <v>f8afbbd6-9c3e-02be-7cb2-eac695e2da02</v>
    <v>536870912</v>
    <v>1</v>
    <v>88</v>
    <v>37</v>
    <v>Nigeria</v>
    <v>19</v>
    <v>20</v>
    <v>Map</v>
    <v>21</v>
    <v>89</v>
    <v>NG</v>
    <v>515</v>
    <v>516</v>
    <v>517</v>
    <v>518</v>
    <v>519</v>
    <v>520</v>
    <v>521</v>
    <v>522</v>
    <v>523</v>
    <v>NGN</v>
    <v>Nigeria, officially the Federal Republic of Nigeria, is a country in West Africa between the Sahel to the north and the Gulf of Guinea in the Atlantic Ocean to the south. It covers an area of 923,769 square kilometres. With a population of more ...</v>
    <v>524</v>
    <v>525</v>
    <v>526</v>
    <v>527</v>
    <v>528</v>
    <v>529</v>
    <v>530</v>
    <v>531</v>
    <v>532</v>
    <v>533</v>
    <v>534</v>
    <v>539</v>
    <v>540</v>
    <v>541</v>
    <v>542</v>
    <v>543</v>
    <v>544</v>
    <v>Nigeria</v>
    <v>Nigeria, We Hail Thee</v>
    <v>545</v>
    <v>Federal Republic of Nigeria</v>
    <v>546</v>
    <v>547</v>
    <v>548</v>
    <v>549</v>
    <v>550</v>
    <v>551</v>
    <v>75</v>
    <v>76</v>
    <v>552</v>
    <v>553</v>
    <v>554</v>
    <v>592</v>
    <v>593</v>
    <v>594</v>
    <v>347</v>
    <v>595</v>
    <v>Nigeria</v>
    <v>596</v>
    <v>mdp/vdpid/175</v>
  </rv>
  <rv s="0">
    <v>536870912</v>
    <v>Myanmar</v>
    <v>403039e1-0344-6b36-8fb6-123e2767192e</v>
    <v>en-ID</v>
    <v>Map</v>
  </rv>
  <rv s="1">
    <fb>0.19538188277086999</fb>
    <v>23</v>
  </rv>
  <rv s="1">
    <fb>676577.2</fb>
    <v>24</v>
  </rv>
  <rv s="1">
    <fb>513000</fb>
    <v>24</v>
  </rv>
  <rv s="1">
    <fb>17.552</fb>
    <v>25</v>
  </rv>
  <rv s="1">
    <fb>95</fb>
    <v>26</v>
  </rv>
  <rv s="0">
    <v>536870912</v>
    <v>Naypyidaw</v>
    <v>df9278da-189d-76cf-6686-5d6e12deb605</v>
    <v>en-ID</v>
    <v>Map</v>
  </rv>
  <rv s="1">
    <fb>25280.297999999999</fb>
    <v>24</v>
  </rv>
  <rv s="1">
    <fb>168.18270065936699</fb>
    <v>27</v>
  </rv>
  <rv s="1">
    <fb>8.8250669680456195E-2</fb>
    <v>23</v>
  </rv>
  <rv s="1">
    <fb>215.29889544359901</fb>
    <v>24</v>
  </rv>
  <rv s="1">
    <fb>2.1539999999999999</fb>
    <v>25</v>
  </rv>
  <rv s="1">
    <fb>0.43631101257694299</fb>
    <v>23</v>
  </rv>
  <rv s="1">
    <fb>44.2898952399838</fb>
    <v>28</v>
  </rv>
  <rv s="1">
    <fb>76085852617.1371</fb>
    <v>30</v>
  </rv>
  <rv s="1">
    <fb>1.1230666999999999</fb>
    <v>23</v>
  </rv>
  <rv s="1">
    <fb>0.1881594</fb>
    <v>23</v>
  </rv>
  <rv s="2">
    <v>10</v>
    <v>21</v>
    <v>91</v>
    <v>7</v>
    <v>0</v>
    <v>Image of Myanmar</v>
  </rv>
  <rv s="1">
    <fb>36.799999999999997</fb>
    <v>28</v>
  </rv>
  <rv s="0">
    <v>536870912</v>
    <v>Yangon</v>
    <v>4e695ae0-edc6-6c76-7ab3-29aac71540d2</v>
    <v>en-ID</v>
    <v>Map</v>
  </rv>
  <rv s="0">
    <v>805306368</v>
    <v>Min Aung Hlaing (President)</v>
    <v>e7a53bf8-cc3a-4416-9e73-c6d65f1c755c</v>
    <v>en-ID</v>
    <v>Generic</v>
  </rv>
  <rv s="0">
    <v>805306368</v>
    <v>Nyo Saw (Vice president)</v>
    <v>216fa7ad-9189-c4e3-f9a1-4c05f60a3325</v>
    <v>en-ID</v>
    <v>Generic</v>
  </rv>
  <rv s="3">
    <v>38</v>
  </rv>
  <rv s="4">
    <v>https://www.bing.com/search?q=burma&amp;form=skydnc</v>
    <v>Learn more on Bing</v>
  </rv>
  <rv s="1">
    <fb>66.867000000000004</fb>
    <v>28</v>
  </rv>
  <rv s="1">
    <fb>250</fb>
    <v>28</v>
  </rv>
  <rv s="1">
    <fb>0.39</fb>
    <v>29</v>
  </rv>
  <rv s="3">
    <v>39</v>
  </rv>
  <rv s="1">
    <fb>0.73910675850000007</fb>
    <v>23</v>
  </rv>
  <rv s="1">
    <fb>0.67700000000000005</fb>
    <v>25</v>
  </rv>
  <rv s="1">
    <fb>57931718</fb>
    <v>24</v>
  </rv>
  <rv s="1">
    <fb>0.255</fb>
    <v>23</v>
  </rv>
  <rv s="1">
    <fb>0.39899999999999997</fb>
    <v>23</v>
  </rv>
  <rv s="1">
    <fb>3.7999999999999999E-2</fb>
    <v>23</v>
  </rv>
  <rv s="1">
    <fb>0.16600000000000001</fb>
    <v>23</v>
  </rv>
  <rv s="1">
    <fb>0.61665000915527302</fb>
    <v>23</v>
  </rv>
  <rv s="0">
    <v>536870912</v>
    <v>Rakhine State</v>
    <v>7f5cf9bf-6a7d-34cf-56b9-977c5d2c4c28</v>
    <v>en-ID</v>
    <v>Map</v>
  </rv>
  <rv s="0">
    <v>536870912</v>
    <v>Chin State</v>
    <v>8767daf8-6c44-f4eb-6952-b31b3116dfdc</v>
    <v>en-ID</v>
    <v>Map</v>
  </rv>
  <rv s="0">
    <v>536870912</v>
    <v>Kachin State</v>
    <v>b37f2071-79b3-08c2-84ff-b5d2f7a84b50</v>
    <v>en-ID</v>
    <v>Map</v>
  </rv>
  <rv s="0">
    <v>536870912</v>
    <v>Shan State</v>
    <v>e156690a-20dc-8fec-2221-6b900a5faac3</v>
    <v>en-ID</v>
    <v>Map</v>
  </rv>
  <rv s="0">
    <v>536870912</v>
    <v>Kayin State</v>
    <v>0b0aceeb-7d5a-c7fb-2fd9-223daff2915f</v>
    <v>en-ID</v>
    <v>Map</v>
  </rv>
  <rv s="0">
    <v>536870912</v>
    <v>Mon State</v>
    <v>f2e9fbb5-4623-ba3a-a364-d55ba46d5f89</v>
    <v>en-ID</v>
    <v>Map</v>
  </rv>
  <rv s="0">
    <v>536870912</v>
    <v>Sagaing Region</v>
    <v>e45333f7-2673-3131-0573-3d3292d7d372</v>
    <v>en-ID</v>
    <v>Map</v>
  </rv>
  <rv s="0">
    <v>536870912</v>
    <v>Tanintharyi Region</v>
    <v>4ad2bbb0-a1cf-5faa-71c3-9006b452138c</v>
    <v>en-ID</v>
    <v>Map</v>
  </rv>
  <rv s="0">
    <v>536870912</v>
    <v>Ayeyarwady Region</v>
    <v>79fa91fb-1f1a-bedf-d43c-719505f21579</v>
    <v>en-ID</v>
    <v>Map</v>
  </rv>
  <rv s="0">
    <v>536870912</v>
    <v>Yangon Region</v>
    <v>fd1c9c78-e8ec-f259-baa1-fa7f54d9953d</v>
    <v>en-ID</v>
    <v>Map</v>
  </rv>
  <rv s="0">
    <v>536870912</v>
    <v>Bago Region</v>
    <v>a8109f5a-d15c-fc8e-df32-b9b9720cb90b</v>
    <v>en-ID</v>
    <v>Map</v>
  </rv>
  <rv s="0">
    <v>536870912</v>
    <v>Magway Region</v>
    <v>863af825-4d0c-a30c-0216-cfb5e4c37073</v>
    <v>en-ID</v>
    <v>Map</v>
  </rv>
  <rv s="0">
    <v>536870912</v>
    <v>Mandalay Region</v>
    <v>efcc164d-4675-ecd6-872f-210989854d60</v>
    <v>en-ID</v>
    <v>Map</v>
  </rv>
  <rv s="0">
    <v>536870912</v>
    <v>Naypyidaw Union Territory</v>
    <v>6e3c6c16-bfed-4b3f-909a-af9490096dc2</v>
    <v>en-ID</v>
    <v>Map</v>
  </rv>
  <rv s="3">
    <v>40</v>
  </rv>
  <rv s="1">
    <fb>5.36699529080766E-2</fb>
    <v>23</v>
  </rv>
  <rv s="3">
    <v>41</v>
  </rv>
  <rv s="1">
    <fb>0.312</fb>
    <v>23</v>
  </rv>
  <rv s="1">
    <fb>1.57700002193451E-2</fb>
    <v>31</v>
  </rv>
  <rv s="1">
    <fb>16674093</fb>
    <v>24</v>
  </rv>
  <rv s="9">
    <v>#VALUE!</v>
    <v>en-ID</v>
    <v>403039e1-0344-6b36-8fb6-123e2767192e</v>
    <v>536870912</v>
    <v>1</v>
    <v>94</v>
    <v>95</v>
    <v>Myanmar</v>
    <v>19</v>
    <v>20</v>
    <v>Map</v>
    <v>21</v>
    <v>96</v>
    <v>MM</v>
    <v>599</v>
    <v>600</v>
    <v>601</v>
    <v>602</v>
    <v>603</v>
    <v>604</v>
    <v>605</v>
    <v>606</v>
    <v>607</v>
    <v>MMK</v>
    <v>Myanmar, officially the Republic of the Union of Myanmar and also referred to as Burma, is a country in northwest Southeast Asia. It is the largest country by area in Mainland Southeast Asia and has a population of about 55 million. It is ...</v>
    <v>608</v>
    <v>609</v>
    <v>610</v>
    <v>611</v>
    <v>544</v>
    <v>612</v>
    <v>613</v>
    <v>614</v>
    <v>615</v>
    <v>616</v>
    <v>617</v>
    <v>620</v>
    <v>621</v>
    <v>622</v>
    <v>623</v>
    <v>624</v>
    <v>Myanmar</v>
    <v>Kaba Ma Kyei</v>
    <v>625</v>
    <v>Republic of the Union of Myanmar</v>
    <v>626</v>
    <v>627</v>
    <v>628</v>
    <v>549</v>
    <v>629</v>
    <v>630</v>
    <v>631</v>
    <v>398</v>
    <v>276</v>
    <v>632</v>
    <v>633</v>
    <v>648</v>
    <v>649</v>
    <v>650</v>
    <v>651</v>
    <v>652</v>
    <v>Myanmar</v>
    <v>653</v>
    <v>mdp/vdpid/27</v>
  </rv>
  <rv s="0">
    <v>536870912</v>
    <v>Mozambique</v>
    <v>a7f78d5f-1f90-031f-0dbd-c31c66e057d5</v>
    <v>en-ID</v>
    <v>Map</v>
  </rv>
  <rv s="1">
    <fb>0.63518909433098503</fb>
    <v>23</v>
  </rv>
  <rv s="1">
    <fb>801590</fb>
    <v>24</v>
  </rv>
  <rv s="1">
    <fb>11000</fb>
    <v>24</v>
  </rv>
  <rv s="1">
    <fb>37.520000000000003</fb>
    <v>25</v>
  </rv>
  <rv s="1">
    <fb>258</fb>
    <v>26</v>
  </rv>
  <rv s="0">
    <v>536870912</v>
    <v>Maputo</v>
    <v>d995e878-d96c-85c9-a3eb-fae711074afd</v>
    <v>en-ID</v>
    <v>Map</v>
  </rv>
  <rv s="1">
    <fb>7942.7219999999998</fb>
    <v>24</v>
  </rv>
  <rv s="1">
    <fb>182.31478337639101</fb>
    <v>27</v>
  </rv>
  <rv s="1">
    <fb>2.7811063118294198E-2</fb>
    <v>23</v>
  </rv>
  <rv s="1">
    <fb>478.92117232933498</fb>
    <v>24</v>
  </rv>
  <rv s="1">
    <fb>4.8520000000000003</fb>
    <v>25</v>
  </rv>
  <rv s="1">
    <fb>0.47983928332994202</fb>
    <v>23</v>
  </rv>
  <rv s="1">
    <fb>12.6199534718635</fb>
    <v>28</v>
  </rv>
  <rv s="1">
    <fb>0.65</fb>
    <v>29</v>
  </rv>
  <rv s="1">
    <fb>14934159925.523399</fb>
    <v>30</v>
  </rv>
  <rv s="1">
    <fb>1.1260497999999999</fb>
    <v>23</v>
  </rv>
  <rv s="1">
    <fb>7.3125499999999996E-2</fb>
    <v>23</v>
  </rv>
  <rv s="2">
    <v>11</v>
    <v>21</v>
    <v>98</v>
    <v>7</v>
    <v>0</v>
    <v>Image of Mozambique</v>
  </rv>
  <rv s="1">
    <fb>54</fb>
    <v>28</v>
  </rv>
  <rv s="0">
    <v>805306368</v>
    <v>Daniel Chapo (President)</v>
    <v>db7012c2-0af9-88e4-9ea1-19537331dd45</v>
    <v>en-ID</v>
    <v>Generic</v>
  </rv>
  <rv s="0">
    <v>805306368</v>
    <v>Maria Benvinda Levy (Prime minister)</v>
    <v>1c131e3c-98d5-72f6-b903-029c3d9dad0b</v>
    <v>en-ID</v>
    <v>Generic</v>
  </rv>
  <rv s="3">
    <v>42</v>
  </rv>
  <rv s="4">
    <v>https://www.bing.com/search?q=mozambique&amp;form=skydnc</v>
    <v>Learn more on Bing</v>
  </rv>
  <rv s="1">
    <fb>60.162999999999997</fb>
    <v>28</v>
  </rv>
  <rv s="1">
    <fb>289</fb>
    <v>28</v>
  </rv>
  <rv s="1">
    <fb>0.27</fb>
    <v>29</v>
  </rv>
  <rv s="3">
    <v>43</v>
  </rv>
  <rv s="1">
    <fb>6.8464365599999993E-2</fb>
    <v>23</v>
  </rv>
  <rv s="1">
    <fb>8.3799999999999999E-2</fb>
    <v>25</v>
  </rv>
  <rv s="1">
    <fb>34206144</fb>
    <v>24</v>
  </rv>
  <rv s="1">
    <fb>0.17399999999999999</fb>
    <v>23</v>
  </rv>
  <rv s="1">
    <fb>0.45500000000000002</fb>
    <v>23</v>
  </rv>
  <rv s="1">
    <fb>0.59499999999999997</fb>
    <v>23</v>
  </rv>
  <rv s="1">
    <fb>1.6E-2</fb>
    <v>23</v>
  </rv>
  <rv s="1">
    <fb>4.2000000000000003E-2</fb>
    <v>23</v>
  </rv>
  <rv s="1">
    <fb>7.5999999999999998E-2</fb>
    <v>23</v>
  </rv>
  <rv s="1">
    <fb>0.11199999999999999</fb>
    <v>23</v>
  </rv>
  <rv s="1">
    <fb>0.78097000122070304</fb>
    <v>23</v>
  </rv>
  <rv s="0">
    <v>536870912</v>
    <v>Cabo Delgado Province</v>
    <v>e5092fb2-807d-6dde-7af0-8c5ce915dc09</v>
    <v>en-ID</v>
    <v>Map</v>
  </rv>
  <rv s="0">
    <v>536870912</v>
    <v>Gaza Province</v>
    <v>ed9118ad-6a52-a758-4ad2-3bb6d7ad6a72</v>
    <v>en-ID</v>
    <v>Map</v>
  </rv>
  <rv s="0">
    <v>536870912</v>
    <v>Inhambane Province</v>
    <v>d5ef9c0c-291b-87ed-3596-2c66485f7bcb</v>
    <v>en-ID</v>
    <v>Map</v>
  </rv>
  <rv s="0">
    <v>536870912</v>
    <v>Manica Province</v>
    <v>d1fb7605-afd7-bf22-9c3e-885d5343919c</v>
    <v>en-ID</v>
    <v>Map</v>
  </rv>
  <rv s="0">
    <v>536870912</v>
    <v>Maputo Province</v>
    <v>4af3ad4a-4b1f-83c9-d3b3-6993c601770f</v>
    <v>en-ID</v>
    <v>Map</v>
  </rv>
  <rv s="0">
    <v>536870912</v>
    <v>Nampula Province</v>
    <v>b45ef35f-3689-e855-c77c-99ce450bac9e</v>
    <v>en-ID</v>
    <v>Map</v>
  </rv>
  <rv s="0">
    <v>536870912</v>
    <v>Niassa Province</v>
    <v>42011373-ef53-85b1-2f7e-7ac3b4192e52</v>
    <v>en-ID</v>
    <v>Map</v>
  </rv>
  <rv s="0">
    <v>536870912</v>
    <v>Sofala Province</v>
    <v>4f472e22-3748-7fd0-52b2-aff1245d8f5d</v>
    <v>en-ID</v>
    <v>Map</v>
  </rv>
  <rv s="0">
    <v>536870912</v>
    <v>Tete Province</v>
    <v>cfa93a22-ea12-c7f6-686b-5c7b7852f88e</v>
    <v>en-ID</v>
    <v>Map</v>
  </rv>
  <rv s="0">
    <v>536870912</v>
    <v>Zambezia Province</v>
    <v>1ff2b2ab-acf2-31bb-c86a-1a3705c17787</v>
    <v>en-ID</v>
    <v>Map</v>
  </rv>
  <rv s="3">
    <v>44</v>
  </rv>
  <rv s="1">
    <fb>2.1625512934769699E-4</fb>
    <v>23</v>
  </rv>
  <rv s="3">
    <v>45</v>
  </rv>
  <rv s="1">
    <fb>0.36099999999999999</fb>
    <v>23</v>
  </rv>
  <rv s="1">
    <fb>3.2409999370575003E-2</fb>
    <v>31</v>
  </rv>
  <rv s="1">
    <fb>11092106</fb>
    <v>24</v>
  </rv>
  <rv s="9">
    <v>#VALUE!</v>
    <v>en-ID</v>
    <v>a7f78d5f-1f90-031f-0dbd-c31c66e057d5</v>
    <v>536870912</v>
    <v>1</v>
    <v>101</v>
    <v>95</v>
    <v>Mozambique</v>
    <v>19</v>
    <v>20</v>
    <v>Map</v>
    <v>21</v>
    <v>102</v>
    <v>MZ</v>
    <v>656</v>
    <v>657</v>
    <v>658</v>
    <v>659</v>
    <v>660</v>
    <v>661</v>
    <v>662</v>
    <v>663</v>
    <v>664</v>
    <v>MZN</v>
    <v>Mozambique, officially the Republic of Mozambique, is a country in Southeast Africa bordered by the Indian Ocean to the east, Tanzania to the north, Malawi and Zambia to the northwest, Zimbabwe to the west, and Eswatini and South Africa to the ...</v>
    <v>665</v>
    <v>666</v>
    <v>667</v>
    <v>668</v>
    <v>669</v>
    <v>670</v>
    <v>671</v>
    <v>672</v>
    <v>673</v>
    <v>674</v>
    <v>661</v>
    <v>677</v>
    <v>678</v>
    <v>679</v>
    <v>680</v>
    <v>681</v>
    <v>Mozambique</v>
    <v>Pátria Amada</v>
    <v>682</v>
    <v>República de Moçambique</v>
    <v>683</v>
    <v>684</v>
    <v>685</v>
    <v>686</v>
    <v>687</v>
    <v>688</v>
    <v>689</v>
    <v>690</v>
    <v>691</v>
    <v>692</v>
    <v>693</v>
    <v>704</v>
    <v>705</v>
    <v>706</v>
    <v>707</v>
    <v>708</v>
    <v>Mozambique</v>
    <v>709</v>
    <v>mdp/vdpid/168</v>
  </rv>
  <rv s="0">
    <v>536870912</v>
    <v>Zimbabwe</v>
    <v>b5996cb7-676c-cac9-7199-564ad2aab277</v>
    <v>en-ID</v>
    <v>Map</v>
  </rv>
  <rv s="1">
    <fb>0.41876696393951102</fb>
    <v>23</v>
  </rv>
  <rv s="1">
    <fb>390757</fb>
    <v>24</v>
  </rv>
  <rv s="1">
    <fb>51000</fb>
    <v>24</v>
  </rv>
  <rv s="1">
    <fb>30.675999999999998</fb>
    <v>25</v>
  </rv>
  <rv s="1">
    <fb>263</fb>
    <v>26</v>
  </rv>
  <rv s="0">
    <v>536870912</v>
    <v>Harare</v>
    <v>7fd230b4-2ebf-c3b1-dda1-04005c96fa05</v>
    <v>en-ID</v>
    <v>Map</v>
  </rv>
  <rv s="1">
    <fb>10982.665000000001</fb>
    <v>24</v>
  </rv>
  <rv s="1">
    <fb>105.511848952592</fb>
    <v>27</v>
  </rv>
  <rv s="1">
    <fb>9.0973328962810091E-3</fb>
    <v>23</v>
  </rv>
  <rv s="1">
    <fb>609.12595209970698</fb>
    <v>24</v>
  </rv>
  <rv s="1">
    <fb>3.6150000000000002</fb>
    <v>25</v>
  </rv>
  <rv s="1">
    <fb>0.35542457307418901</fb>
    <v>23</v>
  </rv>
  <rv s="1">
    <fb>29.095759404593402</fb>
    <v>28</v>
  </rv>
  <rv s="1">
    <fb>1.34</fb>
    <v>29</v>
  </rv>
  <rv s="1">
    <fb>21440758800</fb>
    <v>30</v>
  </rv>
  <rv s="1">
    <fb>1.0989279000000001</fb>
    <v>23</v>
  </rv>
  <rv s="1">
    <fb>0.1000655</fb>
    <v>23</v>
  </rv>
  <rv s="2">
    <v>12</v>
    <v>21</v>
    <v>104</v>
    <v>7</v>
    <v>0</v>
    <v>Image of Zimbabwe</v>
  </rv>
  <rv s="1">
    <fb>33.9</fb>
    <v>28</v>
  </rv>
  <rv s="0">
    <v>805306368</v>
    <v>Emmerson Mnangagwa (President)</v>
    <v>485bebda-1a4d-dcb2-fcaa-11582e210099</v>
    <v>en-ID</v>
    <v>Generic</v>
  </rv>
  <rv s="0">
    <v>805306368</v>
    <v>Constantino Chiwenga (Vice president)</v>
    <v>6eb34b17-b52d-5fb1-d5c1-ef0bf3a6b7d0</v>
    <v>en-ID</v>
    <v>Generic</v>
  </rv>
  <rv s="3">
    <v>46</v>
  </rv>
  <rv s="4">
    <v>https://www.bing.com/search?q=zimbabwe&amp;form=skydnc</v>
    <v>Learn more on Bing</v>
  </rv>
  <rv s="1">
    <fb>61.195</fb>
    <v>28</v>
  </rv>
  <rv s="1">
    <fb>2460690000</fb>
    <v>30</v>
  </rv>
  <rv s="1">
    <fb>458</fb>
    <v>28</v>
  </rv>
  <rv s="3">
    <v>47</v>
  </rv>
  <rv s="1">
    <fb>0.25786417579999998</fb>
    <v>23</v>
  </rv>
  <rv s="1">
    <fb>0.20960000000000001</fb>
    <v>25</v>
  </rv>
  <rv s="1">
    <fb>17472752</fb>
    <v>24</v>
  </rv>
  <rv s="1">
    <fb>0.20600000000000002</fb>
    <v>23</v>
  </rv>
  <rv s="1">
    <fb>0.51100000000000001</fb>
    <v>23</v>
  </rv>
  <rv s="1">
    <fb>2.5000000000000001E-2</fb>
    <v>23</v>
  </rv>
  <rv s="1">
    <fb>0.06</fb>
    <v>23</v>
  </rv>
  <rv s="1">
    <fb>9.0999999999999998E-2</fb>
    <v>23</v>
  </rv>
  <rv s="1">
    <fb>0.13200000000000001</fb>
    <v>23</v>
  </rv>
  <rv s="1">
    <fb>0.83098999023437503</fb>
    <v>23</v>
  </rv>
  <rv s="0">
    <v>536870912</v>
    <v>Manicaland Province</v>
    <v>b1f33617-37cf-4b27-9859-5db9bb06fa11</v>
    <v>en-ID</v>
    <v>Map</v>
  </rv>
  <rv s="0">
    <v>536870912</v>
    <v>Mashonaland Central Province</v>
    <v>2ef46323-c369-41a1-9e79-1f5e432f3ecd</v>
    <v>en-ID</v>
    <v>Map</v>
  </rv>
  <rv s="0">
    <v>536870912</v>
    <v>Mashonaland East Province</v>
    <v>1fc07007-9f63-4db6-a6c5-e8b0f8bdb7a7</v>
    <v>en-ID</v>
    <v>Map</v>
  </rv>
  <rv s="0">
    <v>536870912</v>
    <v>Mashonaland West Province</v>
    <v>99e23c4e-5280-488f-afcc-0fd10e492c5a</v>
    <v>en-ID</v>
    <v>Map</v>
  </rv>
  <rv s="0">
    <v>536870912</v>
    <v>Matabeleland North Province</v>
    <v>51d8ea84-5806-40c6-b58c-33b181349fe4</v>
    <v>en-ID</v>
    <v>Map</v>
  </rv>
  <rv s="0">
    <v>536870912</v>
    <v>Matabeleland South Province</v>
    <v>67f42b25-58c5-468d-b8c4-68f5b3c9f2a9</v>
    <v>en-ID</v>
    <v>Map</v>
  </rv>
  <rv s="0">
    <v>536870912</v>
    <v>Midlands Province</v>
    <v>0265a709-9b01-4e2b-a93a-1cabf7de13a0</v>
    <v>en-ID</v>
    <v>Map</v>
  </rv>
  <rv s="0">
    <v>536870912</v>
    <v>Harare Province</v>
    <v>8b8018d5-44a5-2bd7-fdd4-b805107e6afa</v>
    <v>en-ID</v>
    <v>Map</v>
  </rv>
  <rv s="0">
    <v>536870912</v>
    <v>Masvingo Province</v>
    <v>eaed1e4c-fb87-46f4-9780-f36993637fbe</v>
    <v>en-ID</v>
    <v>Map</v>
  </rv>
  <rv s="3">
    <v>48</v>
  </rv>
  <rv s="1">
    <fb>0.20658688009763901</fb>
    <v>23</v>
  </rv>
  <rv s="3">
    <v>49</v>
  </rv>
  <rv s="1">
    <fb>0.316</fb>
    <v>23</v>
  </rv>
  <rv s="1">
    <fb>4.9539999961853001E-2</fb>
    <v>31</v>
  </rv>
  <rv s="1">
    <fb>4717305</fb>
    <v>24</v>
  </rv>
  <rv s="10">
    <v>#VALUE!</v>
    <v>en-ID</v>
    <v>b5996cb7-676c-cac9-7199-564ad2aab277</v>
    <v>536870912</v>
    <v>1</v>
    <v>107</v>
    <v>108</v>
    <v>Zimbabwe</v>
    <v>19</v>
    <v>20</v>
    <v>Map</v>
    <v>21</v>
    <v>109</v>
    <v>ZW</v>
    <v>712</v>
    <v>713</v>
    <v>714</v>
    <v>715</v>
    <v>716</v>
    <v>717</v>
    <v>718</v>
    <v>719</v>
    <v>720</v>
    <v>AUD</v>
    <v>Zimbabwe, officially the Republic of Zimbabwe, is a landlocked country in Southeast Africa, between the Zambezi and Limpopo River, bordered by South Africa to the south, Botswana to the southwest, Zambia to the north, and Mozambique to the east. ...</v>
    <v>721</v>
    <v>722</v>
    <v>723</v>
    <v>724</v>
    <v>725</v>
    <v>726</v>
    <v>727</v>
    <v>728</v>
    <v>729</v>
    <v>730</v>
    <v>717</v>
    <v>733</v>
    <v>734</v>
    <v>735</v>
    <v>736</v>
    <v>737</v>
    <v>Zimbabwe</v>
    <v>National Anthem of Zimbabwe</v>
    <v>738</v>
    <v>Zimbabwe</v>
    <v>739</v>
    <v>740</v>
    <v>741</v>
    <v>742</v>
    <v>347</v>
    <v>743</v>
    <v>744</v>
    <v>745</v>
    <v>746</v>
    <v>747</v>
    <v>748</v>
    <v>758</v>
    <v>759</v>
    <v>760</v>
    <v>761</v>
    <v>762</v>
    <v>Zimbabwe</v>
    <v>763</v>
    <v>mdp/vdpid/264</v>
  </rv>
  <rv s="0">
    <v>536870912</v>
    <v>Kenya</v>
    <v>8ee43333-b344-289c-d8b1-5abf5e6a5995</v>
    <v>en-ID</v>
    <v>Map</v>
  </rv>
  <rv s="1">
    <fb>0.48546930456478199</fb>
    <v>23</v>
  </rv>
  <rv s="1">
    <fb>581309</fb>
    <v>24</v>
  </rv>
  <rv s="1">
    <fb>29000</fb>
    <v>24</v>
  </rv>
  <rv s="1">
    <fb>28.748000000000001</fb>
    <v>25</v>
  </rv>
  <rv s="1">
    <fb>254</fb>
    <v>26</v>
  </rv>
  <rv s="0">
    <v>536870912</v>
    <v>Nairobi</v>
    <v>df1ed42e-a684-844f-342a-4e9bec9a3e99</v>
    <v>en-ID</v>
    <v>Map</v>
  </rv>
  <rv s="1">
    <fb>17909.628000000001</fb>
    <v>24</v>
  </rv>
  <rv s="1">
    <fb>180.514812183022</fb>
    <v>27</v>
  </rv>
  <rv s="1">
    <fb>4.6898197612985901E-2</fb>
    <v>23</v>
  </rv>
  <rv s="1">
    <fb>164.32554865493401</fb>
    <v>24</v>
  </rv>
  <rv s="1">
    <fb>3.492</fb>
    <v>25</v>
  </rv>
  <rv s="1">
    <fb>7.8181117082901402E-2</fb>
    <v>23</v>
  </rv>
  <rv s="1">
    <fb>17.379572611489198</fb>
    <v>28</v>
  </rv>
  <rv s="1">
    <fb>0.95</fb>
    <v>29</v>
  </rv>
  <rv s="1">
    <fb>95503088538.091995</fb>
    <v>30</v>
  </rv>
  <rv s="1">
    <fb>1.0320534000000001</fb>
    <v>23</v>
  </rv>
  <rv s="1">
    <fb>0.1146471</fb>
    <v>23</v>
  </rv>
  <rv s="2">
    <v>13</v>
    <v>21</v>
    <v>111</v>
    <v>7</v>
    <v>0</v>
    <v>Image of Kenya</v>
  </rv>
  <rv s="1">
    <fb>30.6</fb>
    <v>28</v>
  </rv>
  <rv s="0">
    <v>805306368</v>
    <v>William Ruto (President)</v>
    <v>b3c9a399-aea6-7619-5ed8-960e4ae2e69f</v>
    <v>en-ID</v>
    <v>Generic</v>
  </rv>
  <rv s="0">
    <v>805306368</v>
    <v>Martha Koome (Chief justice)</v>
    <v>1ce8d031-adcc-e20b-6496-4cf0590a125a</v>
    <v>en-ID</v>
    <v>Generic</v>
  </rv>
  <rv s="3">
    <v>50</v>
  </rv>
  <rv s="4">
    <v>https://www.bing.com/search?q=kenya&amp;form=skydnc</v>
    <v>Learn more on Bing</v>
  </rv>
  <rv s="1">
    <fb>66.341999999999999</fb>
    <v>28</v>
  </rv>
  <rv s="1">
    <fb>25061520000</fb>
    <v>30</v>
  </rv>
  <rv s="1">
    <fb>342</fb>
    <v>28</v>
  </rv>
  <rv s="1">
    <fb>0.25</fb>
    <v>29</v>
  </rv>
  <rv s="3">
    <v>51</v>
  </rv>
  <rv s="1">
    <fb>0.33366441450000006</fb>
    <v>23</v>
  </rv>
  <rv s="1">
    <fb>0.1565</fb>
    <v>25</v>
  </rv>
  <rv s="1">
    <fb>55751717</fb>
    <v>24</v>
  </rv>
  <rv s="1">
    <fb>0.215</fb>
    <v>23</v>
  </rv>
  <rv s="1">
    <fb>0.47499999999999998</fb>
    <v>23</v>
  </rv>
  <rv s="1">
    <fb>2.4E-2</fb>
    <v>23</v>
  </rv>
  <rv s="1">
    <fb>6.2E-2</fb>
    <v>23</v>
  </rv>
  <rv s="1">
    <fb>0.10300000000000001</fb>
    <v>23</v>
  </rv>
  <rv s="1">
    <fb>0.14599999999999999</fb>
    <v>23</v>
  </rv>
  <rv s="1">
    <fb>0.74695999145507797</fb>
    <v>23</v>
  </rv>
  <rv s="0">
    <v>536870912</v>
    <v>Western Province</v>
    <v>8c1c2ae8-b1e8-2829-3d4f-0bc9e6eb18d6</v>
    <v>en-ID</v>
    <v>Map</v>
  </rv>
  <rv s="3">
    <v>52</v>
  </rv>
  <rv s="1">
    <fb>0.15085141819362599</fb>
    <v>23</v>
  </rv>
  <rv s="3">
    <v>53</v>
  </rv>
  <rv s="1">
    <fb>0.37200000000000005</fb>
    <v>23</v>
  </rv>
  <rv s="1">
    <fb>2.64199995994568E-2</fb>
    <v>31</v>
  </rv>
  <rv s="1">
    <fb>14461523</fb>
    <v>24</v>
  </rv>
  <rv s="6">
    <v>#VALUE!</v>
    <v>en-ID</v>
    <v>8ee43333-b344-289c-d8b1-5abf5e6a5995</v>
    <v>536870912</v>
    <v>1</v>
    <v>114</v>
    <v>37</v>
    <v>Kenya</v>
    <v>19</v>
    <v>20</v>
    <v>Map</v>
    <v>21</v>
    <v>115</v>
    <v>KE</v>
    <v>766</v>
    <v>767</v>
    <v>768</v>
    <v>769</v>
    <v>770</v>
    <v>771</v>
    <v>772</v>
    <v>773</v>
    <v>774</v>
    <v>KES</v>
    <v>Kenya, officially the Republic of Kenya, is a country located in East Africa. With an estimated population of more than 53.3 million as of mid-2025, it is the 27th-most populous country in the world and the seventh-most populous in Africa. ...</v>
    <v>775</v>
    <v>776</v>
    <v>777</v>
    <v>778</v>
    <v>779</v>
    <v>780</v>
    <v>781</v>
    <v>782</v>
    <v>783</v>
    <v>784</v>
    <v>771</v>
    <v>787</v>
    <v>788</v>
    <v>789</v>
    <v>790</v>
    <v>791</v>
    <v>792</v>
    <v>Kenya</v>
    <v>Ee Mungu Nguvu Yetu</v>
    <v>793</v>
    <v>Republic of Kenya</v>
    <v>794</v>
    <v>795</v>
    <v>796</v>
    <v>797</v>
    <v>761</v>
    <v>798</v>
    <v>799</v>
    <v>800</v>
    <v>801</v>
    <v>802</v>
    <v>803</v>
    <v>805</v>
    <v>806</v>
    <v>807</v>
    <v>808</v>
    <v>809</v>
    <v>Kenya</v>
    <v>810</v>
    <v>mdp/vdpid/129</v>
  </rv>
  <rv s="0">
    <v>536870912</v>
    <v>Yemen</v>
    <v>8d8f36f1-f292-3a92-a6b9-2c3b83e3ffba</v>
    <v>en-ID</v>
    <v>Map</v>
  </rv>
  <rv s="1">
    <fb>0.44597230903270996</fb>
    <v>23</v>
  </rv>
  <rv s="1">
    <fb>455503</fb>
    <v>24</v>
  </rv>
  <rv s="1">
    <fb>40000</fb>
    <v>24</v>
  </rv>
  <rv s="1">
    <fb>30.452999999999999</fb>
    <v>25</v>
  </rv>
  <rv s="1">
    <fb>967</fb>
    <v>26</v>
  </rv>
  <rv s="0">
    <v>536870912</v>
    <v>Sanaa</v>
    <v>56f46305-0da3-cf73-a8cb-9985e8dca0be</v>
    <v>en-ID</v>
    <v>Map</v>
  </rv>
  <rv s="1">
    <fb>10608.630999999999</fb>
    <v>24</v>
  </rv>
  <rv s="1">
    <fb>157.58334053767501</fb>
    <v>27</v>
  </rv>
  <rv s="1">
    <fb>8.1047258362394792E-2</fb>
    <v>23</v>
  </rv>
  <rv s="1">
    <fb>219.79992243494601</fb>
    <v>24</v>
  </rv>
  <rv s="1">
    <fb>3.7919999999999998</fb>
    <v>25</v>
  </rv>
  <rv s="1">
    <fb>1.0398318086254901E-2</fb>
    <v>23</v>
  </rv>
  <rv s="1">
    <fb>98.488502741308295</fb>
    <v>28</v>
  </rv>
  <rv s="1">
    <fb>0.92</fb>
    <v>29</v>
  </rv>
  <rv s="1">
    <fb>26914402223.782799</fb>
    <v>30</v>
  </rv>
  <rv s="1">
    <fb>0.93637479999999995</fb>
    <v>23</v>
  </rv>
  <rv s="1">
    <fb>0.1015192</fb>
    <v>23</v>
  </rv>
  <rv s="2">
    <v>14</v>
    <v>21</v>
    <v>117</v>
    <v>7</v>
    <v>0</v>
    <v>Image of Yemen</v>
  </rv>
  <rv s="1">
    <fb>42.9</fb>
    <v>28</v>
  </rv>
  <rv s="0">
    <v>805306368</v>
    <v>Rashad al-Alimi (President)</v>
    <v>6238a5f2-b686-e00d-6128-ada8e4ef4be3</v>
    <v>en-ID</v>
    <v>Generic</v>
  </rv>
  <rv s="0">
    <v>805306368</v>
    <v>Shaya al-Zindani (Prime minister)</v>
    <v>c7319cc3-c872-d776-2b22-c2b10c484a13</v>
    <v>en-ID</v>
    <v>Generic</v>
  </rv>
  <rv s="3">
    <v>54</v>
  </rv>
  <rv s="4">
    <v>https://www.bing.com/search?q=yemen&amp;form=skydnc</v>
    <v>Learn more on Bing</v>
  </rv>
  <rv s="1">
    <fb>66.096000000000004</fb>
    <v>28</v>
  </rv>
  <rv s="1">
    <fb>164</fb>
    <v>28</v>
  </rv>
  <rv s="3">
    <v>55</v>
  </rv>
  <rv s="1">
    <fb>0.80957237960000006</fb>
    <v>23</v>
  </rv>
  <rv s="1">
    <fb>0.31040000000000001</fb>
    <v>25</v>
  </rv>
  <rv s="1">
    <fb>34505496</fb>
    <v>24</v>
  </rv>
  <rv s="1">
    <fb>0.21199999999999999</fb>
    <v>23</v>
  </rv>
  <rv s="1">
    <fb>0.29399999999999998</fb>
    <v>23</v>
  </rv>
  <rv s="1">
    <fb>0.44700000000000001</fb>
    <v>23</v>
  </rv>
  <rv s="1">
    <fb>0.03</fb>
    <v>23</v>
  </rv>
  <rv s="1">
    <fb>7.2999999999999995E-2</fb>
    <v>23</v>
  </rv>
  <rv s="1">
    <fb>0.115</fb>
    <v>23</v>
  </rv>
  <rv s="1">
    <fb>0.153</fb>
    <v>23</v>
  </rv>
  <rv s="1">
    <fb>0.38</fb>
    <v>23</v>
  </rv>
  <rv s="0">
    <v>536870912</v>
    <v>Aden Governorate</v>
    <v>eb50c1a3-efd7-4783-80e8-c87bef8feab4</v>
    <v>en-ID</v>
    <v>Map</v>
  </rv>
  <rv s="0">
    <v>536870912</v>
    <v>'Amran Governorate</v>
    <v>444bbf4c-044c-856e-419d-a399f325ce9b</v>
    <v>en-ID</v>
    <v>Map</v>
  </rv>
  <rv s="0">
    <v>536870912</v>
    <v>Abyan Governorate</v>
    <v>807f60a7-1105-4311-925d-b51fc5bfd502</v>
    <v>en-ID</v>
    <v>Map</v>
  </rv>
  <rv s="0">
    <v>536870912</v>
    <v>Dhale Governorate</v>
    <v>8f330532-4719-a00a-c381-965e99123f05</v>
    <v>en-ID</v>
    <v>Map</v>
  </rv>
  <rv s="0">
    <v>536870912</v>
    <v>Al-Bayda Governorate</v>
    <v>ba6cac62-32a1-cfae-3f4a-7840cd45b9c7</v>
    <v>en-ID</v>
    <v>Map</v>
  </rv>
  <rv s="0">
    <v>536870912</v>
    <v>Al-Hudaydah Governorate</v>
    <v>5e8ad357-8bfa-1a01-96bb-78ef87ff9428</v>
    <v>en-ID</v>
    <v>Map</v>
  </rv>
  <rv s="0">
    <v>536870912</v>
    <v>Al-Jawf Governorate</v>
    <v>640f28d8-6aea-c10f-ef57-32833685338e</v>
    <v>en-ID</v>
    <v>Map</v>
  </rv>
  <rv s="0">
    <v>536870912</v>
    <v>Al-Mahrah Governorate</v>
    <v>b3a7fb9f-2cda-45ea-b7d4-38ec75cea515</v>
    <v>en-ID</v>
    <v>Map</v>
  </rv>
  <rv s="0">
    <v>536870912</v>
    <v>Al-Mahwit Governorate</v>
    <v>657040b2-99af-4ad7-9fb7-6e70c2e2ce96</v>
    <v>en-ID</v>
    <v>Map</v>
  </rv>
  <rv s="0">
    <v>536870912</v>
    <v>Dhamar Governorate</v>
    <v>156f4d23-ef1f-56f1-cf12-f3f0f3a28bc3</v>
    <v>en-ID</v>
    <v>Map</v>
  </rv>
  <rv s="0">
    <v>536870912</v>
    <v>Hadhramaut Governorate</v>
    <v>36085ad6-c026-a02d-2fef-2cb63495f86a</v>
    <v>en-ID</v>
    <v>Map</v>
  </rv>
  <rv s="0">
    <v>536870912</v>
    <v>Hajjah Governorate</v>
    <v>2f982afb-75be-f024-a89c-4f435a7f4bc2</v>
    <v>en-ID</v>
    <v>Map</v>
  </rv>
  <rv s="0">
    <v>536870912</v>
    <v>Ibb Governorate</v>
    <v>9498bb6c-618a-53e1-2ce0-34e2a95676a2</v>
    <v>en-ID</v>
    <v>Map</v>
  </rv>
  <rv s="0">
    <v>536870912</v>
    <v>Lahej Governorate</v>
    <v>a2a3856c-1e2e-57e3-18b9-d4ce416535c9</v>
    <v>en-ID</v>
    <v>Map</v>
  </rv>
  <rv s="0">
    <v>536870912</v>
    <v>Marib Governorate</v>
    <v>a74db4fb-7b9e-9cfb-c363-ff67438aa533</v>
    <v>en-ID</v>
    <v>Map</v>
  </rv>
  <rv s="0">
    <v>536870912</v>
    <v>Raymah Governorate</v>
    <v>f40c5b8c-4e9e-49c3-9166-fbcd66fb22b5</v>
    <v>en-ID</v>
    <v>Map</v>
  </rv>
  <rv s="0">
    <v>536870912</v>
    <v>Saada Governorate</v>
    <v>f16542f3-5ea0-8735-1916-12c210ee9229</v>
    <v>en-ID</v>
    <v>Map</v>
  </rv>
  <rv s="0">
    <v>536870912</v>
    <v>Shabwah Governorate</v>
    <v>7b57d3b2-5008-605a-324d-86ad1fcd5137</v>
    <v>en-ID</v>
    <v>Map</v>
  </rv>
  <rv s="0">
    <v>536870912</v>
    <v>Taiz Governorate</v>
    <v>84db9bc1-b7e9-bfe3-ec7c-db9a3ba92b32</v>
    <v>en-ID</v>
    <v>Map</v>
  </rv>
  <rv s="0">
    <v>536870912</v>
    <v>Socotra Governorate</v>
    <v>ab37d4a6-bf21-4cce-b242-4de744e30409</v>
    <v>en-ID</v>
    <v>Map</v>
  </rv>
  <rv s="3">
    <v>56</v>
  </rv>
  <rv s="3">
    <v>57</v>
  </rv>
  <rv s="1">
    <fb>0.26600000000000001</fb>
    <v>23</v>
  </rv>
  <rv s="1">
    <fb>0.12909999847412101</fb>
    <v>31</v>
  </rv>
  <rv s="1">
    <fb>10869523</fb>
    <v>24</v>
  </rv>
  <rv s="11">
    <v>#VALUE!</v>
    <v>en-ID</v>
    <v>8d8f36f1-f292-3a92-a6b9-2c3b83e3ffba</v>
    <v>536870912</v>
    <v>1</v>
    <v>120</v>
    <v>121</v>
    <v>Yemen</v>
    <v>19</v>
    <v>20</v>
    <v>Map</v>
    <v>21</v>
    <v>122</v>
    <v>YE</v>
    <v>813</v>
    <v>814</v>
    <v>815</v>
    <v>816</v>
    <v>817</v>
    <v>818</v>
    <v>819</v>
    <v>820</v>
    <v>821</v>
    <v>YER</v>
    <v>Yemen, officially the Republic of Yemen, is a country in West Asia. Including the Socotra Archipelago, mainland Yemen is located in southern Arabia; bordering Saudi Arabia to the north, Oman to the northeast, the south-eastern part of the ...</v>
    <v>822</v>
    <v>823</v>
    <v>824</v>
    <v>825</v>
    <v>826</v>
    <v>827</v>
    <v>828</v>
    <v>829</v>
    <v>830</v>
    <v>831</v>
    <v>818</v>
    <v>834</v>
    <v>835</v>
    <v>836</v>
    <v>837</v>
    <v>Yemen</v>
    <v>National anthem of Yemen</v>
    <v>838</v>
    <v>الجمهورية اليمنية</v>
    <v>839</v>
    <v>840</v>
    <v>841</v>
    <v>842</v>
    <v>843</v>
    <v>844</v>
    <v>845</v>
    <v>846</v>
    <v>847</v>
    <v>848</v>
    <v>849</v>
    <v>870</v>
    <v>871</v>
    <v>872</v>
    <v>873</v>
    <v>Yemen</v>
    <v>874</v>
    <v>mdp/vdpid/261</v>
  </rv>
  <rv s="0">
    <v>536870912</v>
    <v>Oman</v>
    <v>80c2f3b5-3d4f-9573-2b4d-e73c7d67832b</v>
    <v>en-ID</v>
    <v>Map</v>
  </rv>
  <rv s="1">
    <fb>4.6397415185783497E-2</fb>
    <v>23</v>
  </rv>
  <rv s="1">
    <fb>309500</fb>
    <v>24</v>
  </rv>
  <rv s="1">
    <fb>47000</fb>
    <v>24</v>
  </rv>
  <rv s="1">
    <fb>19.189</fb>
    <v>25</v>
  </rv>
  <rv s="1">
    <fb>968</fb>
    <v>26</v>
  </rv>
  <rv s="0">
    <v>536870912</v>
    <v>Muscat</v>
    <v>94c369e9-23a3-9c59-e2c3-e9026f64b420</v>
    <v>en-ID</v>
    <v>Map</v>
  </rv>
  <rv s="1">
    <fb>63457.434999999998</fb>
    <v>24</v>
  </rv>
  <rv s="1">
    <fb>113.52928579077</fb>
    <v>27</v>
  </rv>
  <rv s="1">
    <fb>1.3379505745318198E-3</fb>
    <v>23</v>
  </rv>
  <rv s="1">
    <fb>6445.5734171620397</fb>
    <v>24</v>
  </rv>
  <rv s="1">
    <fb>2.8879999999999999</fb>
    <v>25</v>
  </rv>
  <rv s="1">
    <fb>6.4620355411954791E-5</fb>
    <v>23</v>
  </rv>
  <rv s="1">
    <fb>99.963168651852996</fb>
    <v>28</v>
  </rv>
  <rv s="1">
    <fb>0.45</fb>
    <v>29</v>
  </rv>
  <rv s="1">
    <fb>76983094928.4785</fb>
    <v>30</v>
  </rv>
  <rv s="1">
    <fb>1.0339206000000001</fb>
    <v>23</v>
  </rv>
  <rv s="1">
    <fb>0.38036209999999998</fb>
    <v>23</v>
  </rv>
  <rv s="2">
    <v>15</v>
    <v>21</v>
    <v>124</v>
    <v>7</v>
    <v>0</v>
    <v>Image of Oman</v>
  </rv>
  <rv s="0">
    <v>805306368</v>
    <v>Haitham bin Tariq (Sultan)</v>
    <v>4f5b3bed-c30a-409f-c9c8-4d18c5b69aee</v>
    <v>en-ID</v>
    <v>Generic</v>
  </rv>
  <rv s="3">
    <v>58</v>
  </rv>
  <rv s="4">
    <v>https://www.bing.com/search?q=oman&amp;form=skydnc</v>
    <v>Learn more on Bing</v>
  </rv>
  <rv s="1">
    <fb>77.632999999999996</fb>
    <v>28</v>
  </rv>
  <rv s="1">
    <fb>17119480000</fb>
    <v>30</v>
  </rv>
  <rv s="1">
    <fb>19</fb>
    <v>28</v>
  </rv>
  <rv s="1">
    <fb>4.33</fb>
    <v>29</v>
  </rv>
  <rv s="1">
    <fb>6.3663297800000004E-2</fb>
    <v>23</v>
  </rv>
  <rv s="1">
    <fb>2.0030999999999999</fb>
    <v>25</v>
  </rv>
  <rv s="1">
    <fb>3969824</fb>
    <v>24</v>
  </rv>
  <rv s="1">
    <fb>0.72369003295898393</fb>
    <v>23</v>
  </rv>
  <rv s="0">
    <v>536870912</v>
    <v>Ad Dakhiliyah Governorate</v>
    <v>507aca11-2bcf-7637-0d56-a19fddc08b60</v>
    <v>en-ID</v>
    <v>Map</v>
  </rv>
  <rv s="0">
    <v>536870912</v>
    <v>Al Dhahirah Governorate</v>
    <v>a981bed9-9e09-b441-6ed1-45b40fd2c43b</v>
    <v>en-ID</v>
    <v>Map</v>
  </rv>
  <rv s="0">
    <v>536870912</v>
    <v>Al Batinah North Governorate</v>
    <v>c3841398-bbf3-c711-4598-d86e986af0d8</v>
    <v>en-ID</v>
    <v>Map</v>
  </rv>
  <rv s="0">
    <v>536870912</v>
    <v>Al Batinah South Governorate</v>
    <v>daa3b674-1912-4b3e-f69c-de4f0cd993cd</v>
    <v>en-ID</v>
    <v>Map</v>
  </rv>
  <rv s="0">
    <v>536870912</v>
    <v>Al Buraimi Governorate</v>
    <v>134b6720-8e35-94fa-1147-7c4a8204beba</v>
    <v>en-ID</v>
    <v>Map</v>
  </rv>
  <rv s="0">
    <v>536870912</v>
    <v>Al Wusta Governorate</v>
    <v>89c825f1-a648-e985-ffc1-79b78cd83d1f</v>
    <v>en-ID</v>
    <v>Map</v>
  </rv>
  <rv s="0">
    <v>536870912</v>
    <v>Ash Sharqiyah North Governorate</v>
    <v>26562e12-b4c9-6003-fee2-a918264dfdd4</v>
    <v>en-ID</v>
    <v>Map</v>
  </rv>
  <rv s="0">
    <v>536870912</v>
    <v>Ash Sharqiyah South Governorate</v>
    <v>313d2755-e186-571e-c85f-b9d13b19e01b</v>
    <v>en-ID</v>
    <v>Map</v>
  </rv>
  <rv s="0">
    <v>536870912</v>
    <v>Dhofar</v>
    <v>ea26f1ab-d429-67da-185a-a1a2406ab507</v>
    <v>en-ID</v>
    <v>Map</v>
  </rv>
  <rv s="0">
    <v>536870912</v>
    <v>Muscat Governorate</v>
    <v>475dad8b-c55b-0f3f-8c26-cdcd1678c422</v>
    <v>en-ID</v>
    <v>Map</v>
  </rv>
  <rv s="0">
    <v>536870912</v>
    <v>Musandam Governorate</v>
    <v>93ebe90c-9d4c-44bf-3df0-0fad831f3acd</v>
    <v>en-ID</v>
    <v>Map</v>
  </rv>
  <rv s="3">
    <v>59</v>
  </rv>
  <rv s="1">
    <fb>2.5237216657880902E-2</fb>
    <v>23</v>
  </rv>
  <rv s="3">
    <v>60</v>
  </rv>
  <rv s="1">
    <fb>0.27399999999999997</fb>
    <v>23</v>
  </rv>
  <rv s="1">
    <fb>2.6710000038147001E-2</fb>
    <v>31</v>
  </rv>
  <rv s="1">
    <fb>4250777</fb>
    <v>24</v>
  </rv>
  <rv s="12">
    <v>#VALUE!</v>
    <v>en-ID</v>
    <v>80c2f3b5-3d4f-9573-2b4d-e73c7d67832b</v>
    <v>536870912</v>
    <v>1</v>
    <v>127</v>
    <v>128</v>
    <v>Oman</v>
    <v>19</v>
    <v>20</v>
    <v>Map</v>
    <v>21</v>
    <v>129</v>
    <v>OM</v>
    <v>877</v>
    <v>878</v>
    <v>879</v>
    <v>880</v>
    <v>881</v>
    <v>882</v>
    <v>883</v>
    <v>884</v>
    <v>885</v>
    <v>OMR</v>
    <v>Oman, officially the Sultanate of Oman, is a country in the southeastern Arabian Peninsula in West Asia. It shares land borders with Saudi Arabia, the United Arab Emirates, and Yemen. Oman's coastline faces the Arabian Sea to the southeast and ...</v>
    <v>886</v>
    <v>887</v>
    <v>888</v>
    <v>889</v>
    <v>890</v>
    <v>891</v>
    <v>892</v>
    <v>893</v>
    <v>894</v>
    <v>19</v>
    <v>882</v>
    <v>896</v>
    <v>897</v>
    <v>898</v>
    <v>899</v>
    <v>900</v>
    <v>901</v>
    <v>Oman</v>
    <v>Salute to the Sultan</v>
    <v>838</v>
    <v>سلطنة عُمان</v>
    <v>902</v>
    <v>903</v>
    <v>904</v>
    <v>905</v>
    <v>917</v>
    <v>918</v>
    <v>919</v>
    <v>920</v>
    <v>921</v>
    <v>Oman</v>
    <v>922</v>
    <v>mdp/vdpid/164</v>
  </rv>
</rvData>
</file>

<file path=xl/richData/rdrichvaluestructure.xml><?xml version="1.0" encoding="utf-8"?>
<rvStructures xmlns="http://schemas.microsoft.com/office/spreadsheetml/2017/richdata" count="13">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rvStructures>
</file>

<file path=xl/richData/rdsupportingpropertybag.xml><?xml version="1.0" encoding="utf-8"?>
<supportingPropertyBags xmlns="http://schemas.microsoft.com/office/spreadsheetml/2017/richdata2">
  <spbArrays count="8">
    <a count="5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7">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spbArrays>
  <spbData count="130">
    <spb s="0">
      <v xml:space="preserve">data.worldbank.org	</v>
      <v xml:space="preserve">	</v>
      <v xml:space="preserve">http://data.worldbank.org/indicator/FP.CPI.TOTL	</v>
      <v xml:space="preserve">	</v>
    </spb>
    <spb s="0">
      <v xml:space="preserve">Wikipedia	Cia	travel.state.gov	</v>
      <v xml:space="preserve">CC-BY-SA			</v>
      <v xml:space="preserve">http://en.wikipedia.org/wiki/Brunei	https://www.cia.gov/library/publications/the-world-factbook/geos/bx.html?Transportation	https://travel.state.gov/content/travel/en/international-travel/International-Travel-Country-Information-Pages/brunei.html	</v>
      <v xml:space="preserve">http://creativecommons.org/licenses/by-sa/3.0/			</v>
    </spb>
    <spb s="0">
      <v xml:space="preserve">Wikipedia	</v>
      <v xml:space="preserve">CC BY-SA 3.0	</v>
      <v xml:space="preserve">https://en.wikipedia.org/wiki/Brunei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http://en.wikipedia.org/wiki/Brunei	</v>
      <v xml:space="preserve">http://creativecommons.org/licenses/by-sa/3.0/	</v>
    </spb>
    <spb s="0">
      <v xml:space="preserve">Cia	</v>
      <v xml:space="preserve">	</v>
      <v xml:space="preserve">https://www.cia.gov/library/publications/the-world-factbook/geos/bx.html?Transportation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
      <v>0</v>
      <v>1</v>
      <v>2</v>
      <v>2</v>
      <v>3</v>
      <v>2</v>
      <v>2</v>
      <v>2</v>
      <v>4</v>
      <v>2</v>
      <v>2</v>
      <v>2</v>
      <v>2</v>
      <v>5</v>
      <v>6</v>
      <v>1</v>
      <v>5</v>
      <v>7</v>
      <v>2</v>
      <v>8</v>
      <v>9</v>
      <v>10</v>
      <v>5</v>
      <v>5</v>
      <v>2</v>
      <v>5</v>
      <v>11</v>
      <v>12</v>
      <v>13</v>
      <v>14</v>
      <v>5</v>
      <v>5</v>
      <v>5</v>
      <v>5</v>
      <v>15</v>
    </spb>
    <spb s="2">
      <v>0</v>
      <v>Name</v>
      <v>LearnMoreOnLink</v>
    </spb>
    <spb s="3">
      <v>0</v>
      <v>0</v>
      <v>0</v>
    </spb>
    <spb s="4">
      <v>18</v>
      <v>18</v>
      <v>18</v>
    </spb>
    <spb s="5">
      <v>1</v>
      <v>2</v>
    </spb>
    <spb s="6">
      <v>https://www.bing.com</v>
      <v>https://www.bing.com/th?id=Ga%5Cbing_yt.png&amp;w=100&amp;h=40&amp;c=0&amp;pid=0.1</v>
      <v>Powered by Bing</v>
    </spb>
    <spb s="7">
      <v>2019</v>
      <v>2019</v>
      <v>square km</v>
      <v>per thousand (2018)</v>
      <v>2025</v>
      <v>2019</v>
      <v>2018</v>
      <v>per liter (2016)</v>
      <v>2019</v>
      <v>years (2018)</v>
      <v>per thousand (2018)</v>
      <v>2019</v>
      <v>2017</v>
      <v>2016</v>
      <v>2019</v>
      <v>2016</v>
      <v>2017</v>
      <v>kilotons per year (2016)</v>
      <v>deaths per 100,000 (2017)</v>
      <v>kWh (2014)</v>
      <v>2014</v>
      <v>2015</v>
      <v>2018</v>
      <v>2018</v>
      <v>2019</v>
    </spb>
    <spb s="8">
      <v>3</v>
    </spb>
    <spb s="8">
      <v>4</v>
    </spb>
    <spb s="8">
      <v>5</v>
    </spb>
    <spb s="8">
      <v>6</v>
    </spb>
    <spb s="8">
      <v>7</v>
    </spb>
    <spb s="8">
      <v>8</v>
    </spb>
    <spb s="8">
      <v>9</v>
    </spb>
    <spb s="8">
      <v>10</v>
    </spb>
    <spb s="8">
      <v>11</v>
    </spb>
    <spb s="0">
      <v xml:space="preserve">Wikipedia	Cia	travel.state.gov	</v>
      <v xml:space="preserve">CC-BY-SA			</v>
      <v xml:space="preserve">http://en.wikipedia.org/wiki/Mexico	https://www.cia.gov/library/publications/the-world-factbook/geos/mx.html?Transportation	https://travel.state.gov/content/travel/en/international-travel/International-Travel-Country-Information-Pages/Mexico.html	</v>
      <v xml:space="preserve">http://creativecommons.org/licenses/by-sa/3.0/			</v>
    </spb>
    <spb s="0">
      <v xml:space="preserve">Wikipedia	</v>
      <v xml:space="preserve">CC BY-SA 3.0	</v>
      <v xml:space="preserve">https://en.wikipedia.org/wiki/Mexico	</v>
      <v xml:space="preserve">https://creativecommons.org/licenses/by-sa/3.0	</v>
    </spb>
    <spb s="0">
      <v xml:space="preserve">Wikipedia	</v>
      <v xml:space="preserve">CC-BY-SA	</v>
      <v xml:space="preserve">http://en.wikipedia.org/wiki/Mexico	</v>
      <v xml:space="preserve">http://creativecommons.org/licenses/by-sa/3.0/	</v>
    </spb>
    <spb s="0">
      <v xml:space="preserve">Cia	</v>
      <v xml:space="preserve">	</v>
      <v xml:space="preserve">https://www.cia.gov/library/publications/the-world-factbook/geos/mx.html?Transportation	</v>
      <v xml:space="preserve">	</v>
    </spb>
    <spb s="9">
      <v>0</v>
      <v>32</v>
      <v>33</v>
      <v>33</v>
      <v>3</v>
      <v>33</v>
      <v>33</v>
      <v>33</v>
      <v>34</v>
      <v>33</v>
      <v>33</v>
      <v>34</v>
      <v>33</v>
      <v>33</v>
      <v>35</v>
      <v>6</v>
      <v>32</v>
      <v>35</v>
      <v>7</v>
      <v>33</v>
      <v>35</v>
      <v>8</v>
      <v>9</v>
      <v>10</v>
      <v>35</v>
      <v>35</v>
      <v>33</v>
      <v>35</v>
      <v>11</v>
      <v>12</v>
      <v>13</v>
      <v>14</v>
      <v>35</v>
      <v>32</v>
      <v>35</v>
      <v>35</v>
      <v>35</v>
      <v>35</v>
      <v>35</v>
      <v>35</v>
      <v>35</v>
      <v>35</v>
      <v>35</v>
      <v>35</v>
      <v>15</v>
    </spb>
    <spb s="2">
      <v>1</v>
      <v>Name</v>
      <v>LearnMoreOnLink</v>
    </spb>
    <spb s="10">
      <v>2019</v>
      <v>2019</v>
      <v>square km</v>
      <v>per thousand (2018)</v>
      <v>2025</v>
      <v>2019</v>
      <v>2018</v>
      <v>per liter (2016)</v>
      <v>2019</v>
      <v>years (2018)</v>
      <v>2018</v>
      <v>per thousand (2018)</v>
      <v>2019</v>
      <v>2017</v>
      <v>2016</v>
      <v>2019</v>
      <v>2016</v>
      <v>2017</v>
      <v>kilotons per year (2016)</v>
      <v>deaths per 100,000 (2017)</v>
      <v>kWh (2014)</v>
      <v>2015</v>
      <v>2019</v>
      <v>2018</v>
      <v>2018</v>
      <v>2018</v>
      <v>2018</v>
      <v>2018</v>
      <v>2015</v>
      <v>2018</v>
      <v>2018</v>
      <v>2017</v>
      <v>2017</v>
      <v>2019</v>
    </spb>
    <spb s="0">
      <v xml:space="preserve">Wikipedia	Cia	travel.state.gov	</v>
      <v xml:space="preserve">CC-BY-SA			</v>
      <v xml:space="preserve">http://en.wikipedia.org/wiki/Cambodia	https://www.cia.gov/library/publications/the-world-factbook/geos/cb.html?Transportation	https://travel.state.gov/content/travel/en/international-travel/International-Travel-Country-Information-Pages/Cambodia.html	</v>
      <v xml:space="preserve">http://creativecommons.org/licenses/by-sa/3.0/			</v>
    </spb>
    <spb s="0">
      <v xml:space="preserve">Wikipedia	</v>
      <v xml:space="preserve">CC BY-SA 3.0	</v>
      <v xml:space="preserve">https://en.wikipedia.org/wiki/Cambodia	</v>
      <v xml:space="preserve">https://creativecommons.org/licenses/by-sa/3.0	</v>
    </spb>
    <spb s="0">
      <v xml:space="preserve">Wikipedia	</v>
      <v xml:space="preserve">CC-BY-SA	</v>
      <v xml:space="preserve">http://en.wikipedia.org/wiki/Cambodia	</v>
      <v xml:space="preserve">http://creativecommons.org/licenses/by-sa/3.0/	</v>
    </spb>
    <spb s="0">
      <v xml:space="preserve">Cia	</v>
      <v xml:space="preserve">	</v>
      <v xml:space="preserve">https://www.cia.gov/library/publications/the-world-factbook/geos/cb.html?Transportation	</v>
      <v xml:space="preserve">	</v>
    </spb>
    <spb s="11">
      <v>0</v>
      <v>39</v>
      <v>40</v>
      <v>40</v>
      <v>3</v>
      <v>40</v>
      <v>40</v>
      <v>40</v>
      <v>41</v>
      <v>40</v>
      <v>40</v>
      <v>40</v>
      <v>40</v>
      <v>42</v>
      <v>6</v>
      <v>39</v>
      <v>42</v>
      <v>7</v>
      <v>40</v>
      <v>42</v>
      <v>8</v>
      <v>9</v>
      <v>10</v>
      <v>42</v>
      <v>42</v>
      <v>40</v>
      <v>42</v>
      <v>11</v>
      <v>12</v>
      <v>13</v>
      <v>14</v>
      <v>42</v>
      <v>42</v>
      <v>42</v>
      <v>42</v>
      <v>15</v>
    </spb>
    <spb s="2">
      <v>2</v>
      <v>Name</v>
      <v>LearnMoreOnLink</v>
    </spb>
    <spb s="12">
      <v>2018</v>
      <v>2019</v>
      <v>square km</v>
      <v>per thousand (2018)</v>
      <v>2025</v>
      <v>2018</v>
      <v>2018</v>
      <v>per liter (2016)</v>
      <v>2019</v>
      <v>years (2018)</v>
      <v>2018</v>
      <v>per thousand (2018)</v>
      <v>2019</v>
      <v>2017</v>
      <v>2016</v>
      <v>2019</v>
      <v>2016</v>
      <v>2014</v>
      <v>kilotons per year (2016)</v>
      <v>deaths per 100,000 (2017)</v>
      <v>kWh (2014)</v>
      <v>2014</v>
      <v>2015</v>
      <v>2018</v>
      <v>2018</v>
      <v>2019</v>
    </spb>
    <spb s="0">
      <v xml:space="preserve">Wikipedia	Cia	travel.state.gov	</v>
      <v xml:space="preserve">CC-BY-SA			</v>
      <v xml:space="preserve">http://en.wikipedia.org/wiki/Poland	https://www.cia.gov/library/publications/the-world-factbook/geos/pl.html?Transportation	https://travel.state.gov/content/travel/en/international-travel/International-Travel-Country-Information-Pages/Poland.html	</v>
      <v xml:space="preserve">http://creativecommons.org/licenses/by-sa/3.0/			</v>
    </spb>
    <spb s="0">
      <v xml:space="preserve">Wikipedia	</v>
      <v xml:space="preserve">CC BY-SA 3.0	</v>
      <v xml:space="preserve">https://en.wikipedia.org/wiki/Poland	</v>
      <v xml:space="preserve">https://creativecommons.org/licenses/by-sa/3.0	</v>
    </spb>
    <spb s="0">
      <v xml:space="preserve">Wikipedia	</v>
      <v xml:space="preserve">CC-BY-SA	</v>
      <v xml:space="preserve">http://en.wikipedia.org/wiki/Poland	</v>
      <v xml:space="preserve">http://creativecommons.org/licenses/by-sa/3.0/	</v>
    </spb>
    <spb s="0">
      <v xml:space="preserve">Cia	</v>
      <v xml:space="preserve">	</v>
      <v xml:space="preserve">https://www.cia.gov/library/publications/the-world-factbook/geos/pl.html?Transportation	</v>
      <v xml:space="preserve">	</v>
    </spb>
    <spb s="9">
      <v>0</v>
      <v>46</v>
      <v>47</v>
      <v>47</v>
      <v>3</v>
      <v>47</v>
      <v>47</v>
      <v>47</v>
      <v>48</v>
      <v>47</v>
      <v>47</v>
      <v>48</v>
      <v>47</v>
      <v>47</v>
      <v>49</v>
      <v>6</v>
      <v>46</v>
      <v>49</v>
      <v>7</v>
      <v>47</v>
      <v>49</v>
      <v>8</v>
      <v>9</v>
      <v>10</v>
      <v>49</v>
      <v>49</v>
      <v>47</v>
      <v>49</v>
      <v>11</v>
      <v>12</v>
      <v>13</v>
      <v>14</v>
      <v>49</v>
      <v>46</v>
      <v>49</v>
      <v>49</v>
      <v>49</v>
      <v>49</v>
      <v>49</v>
      <v>49</v>
      <v>49</v>
      <v>49</v>
      <v>49</v>
      <v>49</v>
      <v>15</v>
    </spb>
    <spb s="10">
      <v>2019</v>
      <v>2019</v>
      <v>square km</v>
      <v>per thousand (2018)</v>
      <v>2025</v>
      <v>2019</v>
      <v>2018</v>
      <v>per liter (2016)</v>
      <v>2019</v>
      <v>years (2018)</v>
      <v>2018</v>
      <v>per thousand (2018)</v>
      <v>2019</v>
      <v>2017</v>
      <v>2016</v>
      <v>2019</v>
      <v>2016</v>
      <v>2017</v>
      <v>kilotons per year (2016)</v>
      <v>deaths per 100,000 (2017)</v>
      <v>kWh (2014)</v>
      <v>2015</v>
      <v>2019</v>
      <v>2017</v>
      <v>2017</v>
      <v>2017</v>
      <v>2017</v>
      <v>2017</v>
      <v>2015</v>
      <v>2017</v>
      <v>2017</v>
      <v>2017</v>
      <v>2017</v>
      <v>2019</v>
    </spb>
    <spb s="0">
      <v xml:space="preserve">Wikipedia	Cia	travel.state.gov	</v>
      <v xml:space="preserve">CC-BY-SA			</v>
      <v xml:space="preserve">http://en.wikipedia.org/wiki/France	https://www.cia.gov/library/publications/the-world-factbook/geos/fr.html?Transportation	https://travel.state.gov/content/travel/en/international-travel/International-Travel-Country-Information-Pages/Monaco.html	</v>
      <v xml:space="preserve">http://creativecommons.org/licenses/by-sa/3.0/			</v>
    </spb>
    <spb s="0">
      <v xml:space="preserve">Wikipedia	</v>
      <v xml:space="preserve">CC BY-SA 3.0	</v>
      <v xml:space="preserve">https://en.wikipedia.org/wiki/France	</v>
      <v xml:space="preserve">https://creativecommons.org/licenses/by-sa/3.0	</v>
    </spb>
    <spb s="0">
      <v xml:space="preserve">Wikipedia	</v>
      <v xml:space="preserve">CC-BY-SA	</v>
      <v xml:space="preserve">http://en.wikipedia.org/wiki/France	</v>
      <v xml:space="preserve">http://creativecommons.org/licenses/by-sa/3.0/	</v>
    </spb>
    <spb s="0">
      <v xml:space="preserve">Cia	</v>
      <v xml:space="preserve">	</v>
      <v xml:space="preserve">https://www.cia.gov/library/publications/the-world-factbook/geos/fr.html?Transportation	</v>
      <v xml:space="preserve">	</v>
    </spb>
    <spb s="9">
      <v>0</v>
      <v>52</v>
      <v>53</v>
      <v>53</v>
      <v>3</v>
      <v>53</v>
      <v>53</v>
      <v>53</v>
      <v>54</v>
      <v>53</v>
      <v>53</v>
      <v>54</v>
      <v>53</v>
      <v>53</v>
      <v>55</v>
      <v>6</v>
      <v>52</v>
      <v>55</v>
      <v>7</v>
      <v>53</v>
      <v>55</v>
      <v>8</v>
      <v>9</v>
      <v>10</v>
      <v>55</v>
      <v>55</v>
      <v>53</v>
      <v>55</v>
      <v>11</v>
      <v>12</v>
      <v>13</v>
      <v>14</v>
      <v>55</v>
      <v>52</v>
      <v>55</v>
      <v>55</v>
      <v>55</v>
      <v>55</v>
      <v>55</v>
      <v>55</v>
      <v>55</v>
      <v>55</v>
      <v>55</v>
      <v>55</v>
      <v>15</v>
    </spb>
    <spb s="10">
      <v>2019</v>
      <v>2019</v>
      <v>square km</v>
      <v>per thousand (2018)</v>
      <v>2025</v>
      <v>2019</v>
      <v>2018</v>
      <v>per liter (2016)</v>
      <v>2019</v>
      <v>years (2018)</v>
      <v>2018</v>
      <v>per thousand (2018)</v>
      <v>2019</v>
      <v>2017</v>
      <v>2016</v>
      <v>2019</v>
      <v>2016</v>
      <v>2018</v>
      <v>kilotons per year (2014)</v>
      <v>deaths per 100,000 (2017)</v>
      <v>kWh (2014)</v>
      <v>2015</v>
      <v>2018</v>
      <v>2017</v>
      <v>2017</v>
      <v>2017</v>
      <v>2017</v>
      <v>2017</v>
      <v>2015</v>
      <v>2017</v>
      <v>2017</v>
      <v>2017</v>
      <v>2017</v>
      <v>2019</v>
    </spb>
    <spb s="0">
      <v xml:space="preserve">Wikipedia	Cia	travel.state.gov	</v>
      <v xml:space="preserve">CC-BY-SA			</v>
      <v xml:space="preserve">http://en.wikipedia.org/wiki/Philippines	https://www.cia.gov/library/publications/the-world-factbook/geos/rp.html?Transportation	https://travel.state.gov/content/travel/en/international-travel/International-Travel-Country-Information-Pages/Philippines.html	</v>
      <v xml:space="preserve">http://creativecommons.org/licenses/by-sa/3.0/			</v>
    </spb>
    <spb s="0">
      <v xml:space="preserve">Wikipedia	</v>
      <v xml:space="preserve">CC BY-SA 3.0	</v>
      <v xml:space="preserve">https://en.wikipedia.org/wiki/Philippines	</v>
      <v xml:space="preserve">https://creativecommons.org/licenses/by-sa/3.0	</v>
    </spb>
    <spb s="0">
      <v xml:space="preserve">Wikipedia	</v>
      <v xml:space="preserve">CC-BY-SA	</v>
      <v xml:space="preserve">http://en.wikipedia.org/wiki/Philippines	</v>
      <v xml:space="preserve">http://creativecommons.org/licenses/by-sa/3.0/	</v>
    </spb>
    <spb s="0">
      <v xml:space="preserve">Cia	</v>
      <v xml:space="preserve">	</v>
      <v xml:space="preserve">https://www.cia.gov/library/publications/the-world-factbook/geos/rp.html?Transportation	</v>
      <v xml:space="preserve">	</v>
    </spb>
    <spb s="9">
      <v>0</v>
      <v>58</v>
      <v>59</v>
      <v>59</v>
      <v>3</v>
      <v>59</v>
      <v>59</v>
      <v>59</v>
      <v>60</v>
      <v>59</v>
      <v>59</v>
      <v>60</v>
      <v>59</v>
      <v>59</v>
      <v>61</v>
      <v>6</v>
      <v>58</v>
      <v>61</v>
      <v>7</v>
      <v>59</v>
      <v>61</v>
      <v>8</v>
      <v>9</v>
      <v>10</v>
      <v>61</v>
      <v>61</v>
      <v>59</v>
      <v>61</v>
      <v>11</v>
      <v>12</v>
      <v>13</v>
      <v>14</v>
      <v>61</v>
      <v>58</v>
      <v>61</v>
      <v>61</v>
      <v>61</v>
      <v>61</v>
      <v>61</v>
      <v>61</v>
      <v>61</v>
      <v>61</v>
      <v>61</v>
      <v>61</v>
      <v>15</v>
    </spb>
    <spb s="10">
      <v>2019</v>
      <v>2019</v>
      <v>square km</v>
      <v>per thousand (2018)</v>
      <v>2025</v>
      <v>2019</v>
      <v>2018</v>
      <v>per liter (2016)</v>
      <v>2019</v>
      <v>years (2018)</v>
      <v>2018</v>
      <v>per thousand (2018)</v>
      <v>2019</v>
      <v>2017</v>
      <v>2016</v>
      <v>2019</v>
      <v>2016</v>
      <v>2017</v>
      <v>kilotons per year (2016)</v>
      <v>deaths per 100,000 (2017)</v>
      <v>kWh (2014)</v>
      <v>2014</v>
      <v>2019</v>
      <v>2015</v>
      <v>2015</v>
      <v>2015</v>
      <v>2015</v>
      <v>2015</v>
      <v>2015</v>
      <v>2015</v>
      <v>2015</v>
      <v>2017</v>
      <v>2017</v>
      <v>2019</v>
    </spb>
    <spb s="0">
      <v xml:space="preserve">Wikipedia	travel.state.gov	</v>
      <v xml:space="preserve">CC-BY-SA		</v>
      <v xml:space="preserve">http://en.wikipedia.org/wiki/Pakistan	https://travel.state.gov/content/travel/en/international-travel/International-Travel-Country-Information-Pages/Pakistan.html	</v>
      <v xml:space="preserve">http://creativecommons.org/licenses/by-sa/3.0/		</v>
    </spb>
    <spb s="0">
      <v xml:space="preserve">Wikipedia	</v>
      <v xml:space="preserve">CC BY-SA 3.0	</v>
      <v xml:space="preserve">https://en.wikipedia.org/wiki/Pakistan	</v>
      <v xml:space="preserve">https://creativecommons.org/licenses/by-sa/3.0	</v>
    </spb>
    <spb s="0">
      <v xml:space="preserve">Wikipedia	</v>
      <v xml:space="preserve">CC-BY-SA	</v>
      <v xml:space="preserve">http://en.wikipedia.org/wiki/Pakistan	</v>
      <v xml:space="preserve">http://creativecommons.org/licenses/by-sa/3.0/	</v>
    </spb>
    <spb s="0">
      <v xml:space="preserve">Cia	</v>
      <v xml:space="preserve">	</v>
      <v xml:space="preserve">https://www.cia.gov/library/publications/the-world-factbook/geos/pk.html?Transportation	</v>
      <v xml:space="preserve">	</v>
    </spb>
    <spb s="0">
      <v xml:space="preserve">Wikipedia	Cia	travel.state.gov	</v>
      <v xml:space="preserve">CC-BY-SA			</v>
      <v xml:space="preserve">http://en.wikipedia.org/wiki/Pakistan	https://www.cia.gov/library/publications/the-world-factbook/geos/pk.html?Transportation	https://travel.state.gov/content/travel/en/international-travel/International-Travel-Country-Information-Pages/Pakistan.html	</v>
      <v xml:space="preserve">http://creativecommons.org/licenses/by-sa/3.0/			</v>
    </spb>
    <spb s="9">
      <v>0</v>
      <v>64</v>
      <v>65</v>
      <v>65</v>
      <v>3</v>
      <v>65</v>
      <v>65</v>
      <v>65</v>
      <v>66</v>
      <v>65</v>
      <v>65</v>
      <v>66</v>
      <v>65</v>
      <v>65</v>
      <v>67</v>
      <v>6</v>
      <v>68</v>
      <v>67</v>
      <v>7</v>
      <v>65</v>
      <v>67</v>
      <v>8</v>
      <v>9</v>
      <v>10</v>
      <v>67</v>
      <v>67</v>
      <v>65</v>
      <v>67</v>
      <v>11</v>
      <v>12</v>
      <v>13</v>
      <v>14</v>
      <v>67</v>
      <v>68</v>
      <v>67</v>
      <v>67</v>
      <v>67</v>
      <v>67</v>
      <v>67</v>
      <v>67</v>
      <v>67</v>
      <v>67</v>
      <v>67</v>
      <v>67</v>
      <v>15</v>
    </spb>
    <spb s="10">
      <v>2019</v>
      <v>2017</v>
      <v>square km</v>
      <v>per thousand (2018)</v>
      <v>2025</v>
      <v>2019</v>
      <v>2018</v>
      <v>per liter (2016)</v>
      <v>2019</v>
      <v>years (2018)</v>
      <v>2011</v>
      <v>per thousand (2018)</v>
      <v>2019</v>
      <v>2017</v>
      <v>2016</v>
      <v>2019</v>
      <v>2016</v>
      <v>2018</v>
      <v>kilotons per year (2016)</v>
      <v>deaths per 100,000 (2017)</v>
      <v>kWh (2014)</v>
      <v>2014</v>
      <v>2016</v>
      <v>2015</v>
      <v>2015</v>
      <v>2015</v>
      <v>2015</v>
      <v>2015</v>
      <v>2015</v>
      <v>2015</v>
      <v>2015</v>
      <v>2018</v>
      <v>2018</v>
      <v>2019</v>
    </spb>
    <spb s="0">
      <v xml:space="preserve">Wikipedia	Cia	travel.state.gov	</v>
      <v xml:space="preserve">CC-BY-SA			</v>
      <v xml:space="preserve">http://en.wikipedia.org/wiki/Malawi	https://www.cia.gov/library/publications/the-world-factbook/geos/mi.html?Transportation	https://travel.state.gov/content/travel/en/international-travel/International-Travel-Country-Information-Pages/Malawi.html	</v>
      <v xml:space="preserve">http://creativecommons.org/licenses/by-sa/3.0/			</v>
    </spb>
    <spb s="0">
      <v xml:space="preserve">Wikipedia	</v>
      <v xml:space="preserve">CC BY-SA 3.0	</v>
      <v xml:space="preserve">https://en.wikipedia.org/wiki/Malawi	</v>
      <v xml:space="preserve">https://creativecommons.org/licenses/by-sa/3.0	</v>
    </spb>
    <spb s="0">
      <v xml:space="preserve">Wikipedia	</v>
      <v xml:space="preserve">CC-BY-SA	</v>
      <v xml:space="preserve">http://en.wikipedia.org/wiki/Malawi	</v>
      <v xml:space="preserve">http://creativecommons.org/licenses/by-sa/3.0/	</v>
    </spb>
    <spb s="0">
      <v xml:space="preserve">Cia	</v>
      <v xml:space="preserve">	</v>
      <v xml:space="preserve">https://www.cia.gov/library/publications/the-world-factbook/geos/mi.html?Transportation	</v>
      <v xml:space="preserve">	</v>
    </spb>
    <spb s="13">
      <v>0</v>
      <v>71</v>
      <v>72</v>
      <v>72</v>
      <v>3</v>
      <v>72</v>
      <v>72</v>
      <v>72</v>
      <v>73</v>
      <v>72</v>
      <v>72</v>
      <v>73</v>
      <v>72</v>
      <v>72</v>
      <v>74</v>
      <v>6</v>
      <v>71</v>
      <v>74</v>
      <v>7</v>
      <v>72</v>
      <v>74</v>
      <v>8</v>
      <v>9</v>
      <v>10</v>
      <v>74</v>
      <v>74</v>
      <v>72</v>
      <v>74</v>
      <v>11</v>
      <v>12</v>
      <v>13</v>
      <v>74</v>
      <v>74</v>
      <v>74</v>
      <v>74</v>
      <v>74</v>
      <v>74</v>
      <v>74</v>
      <v>74</v>
      <v>74</v>
      <v>74</v>
      <v>15</v>
    </spb>
    <spb s="2">
      <v>3</v>
      <v>Name</v>
      <v>LearnMoreOnLink</v>
    </spb>
    <spb s="14">
      <v>2019</v>
      <v>2019</v>
      <v>square km</v>
      <v>per thousand (2018)</v>
      <v>2025</v>
      <v>2019</v>
      <v>2018</v>
      <v>per liter (2016)</v>
      <v>2019</v>
      <v>years (2018)</v>
      <v>2019</v>
      <v>per thousand (2018)</v>
      <v>2019</v>
      <v>2017</v>
      <v>2016</v>
      <v>2019</v>
      <v>2016</v>
      <v>2018</v>
      <v>kilotons per year (2016)</v>
      <v>deaths per 100,000 (2017)</v>
      <v>2016</v>
      <v>2016</v>
      <v>2016</v>
      <v>2016</v>
      <v>2016</v>
      <v>2015</v>
      <v>2016</v>
      <v>2016</v>
      <v>2018</v>
      <v>2011</v>
      <v>2019</v>
    </spb>
    <spb s="0">
      <v xml:space="preserve">Wikipedia	Cia	travel.state.gov	</v>
      <v xml:space="preserve">CC-BY-SA			</v>
      <v xml:space="preserve">http://en.wikipedia.org/wiki/Botswana	https://www.cia.gov/library/publications/the-world-factbook/geos/bc.html?Transportation	https://travel.state.gov/content/travel/en/international-travel/International-Travel-Country-Information-Pages/Botswana.html	</v>
      <v xml:space="preserve">http://creativecommons.org/licenses/by-sa/3.0/			</v>
    </spb>
    <spb s="0">
      <v xml:space="preserve">Wikipedia	</v>
      <v xml:space="preserve">CC BY-SA 3.0	</v>
      <v xml:space="preserve">https://en.wikipedia.org/wiki/Botswana	</v>
      <v xml:space="preserve">https://creativecommons.org/licenses/by-sa/3.0	</v>
    </spb>
    <spb s="0">
      <v xml:space="preserve">Wikipedia	</v>
      <v xml:space="preserve">CC-BY-SA	</v>
      <v xml:space="preserve">http://en.wikipedia.org/wiki/Botswana	</v>
      <v xml:space="preserve">http://creativecommons.org/licenses/by-sa/3.0/	</v>
    </spb>
    <spb s="0">
      <v xml:space="preserve">Cia	</v>
      <v xml:space="preserve">	</v>
      <v xml:space="preserve">https://www.cia.gov/library/publications/the-world-factbook/geos/bc.html?Transportation	</v>
      <v xml:space="preserve">	</v>
    </spb>
    <spb s="9">
      <v>0</v>
      <v>78</v>
      <v>79</v>
      <v>79</v>
      <v>3</v>
      <v>79</v>
      <v>79</v>
      <v>79</v>
      <v>80</v>
      <v>79</v>
      <v>79</v>
      <v>80</v>
      <v>79</v>
      <v>79</v>
      <v>81</v>
      <v>6</v>
      <v>78</v>
      <v>81</v>
      <v>7</v>
      <v>79</v>
      <v>81</v>
      <v>8</v>
      <v>9</v>
      <v>10</v>
      <v>81</v>
      <v>81</v>
      <v>79</v>
      <v>81</v>
      <v>11</v>
      <v>12</v>
      <v>13</v>
      <v>14</v>
      <v>81</v>
      <v>78</v>
      <v>81</v>
      <v>81</v>
      <v>81</v>
      <v>81</v>
      <v>81</v>
      <v>81</v>
      <v>81</v>
      <v>81</v>
      <v>81</v>
      <v>81</v>
      <v>15</v>
    </spb>
    <spb s="10">
      <v>2019</v>
      <v>2019</v>
      <v>square km</v>
      <v>per thousand (2018)</v>
      <v>2025</v>
      <v>2019</v>
      <v>2018</v>
      <v>per liter (2016)</v>
      <v>2019</v>
      <v>years (2018)</v>
      <v>2018</v>
      <v>per thousand (2018)</v>
      <v>2019</v>
      <v>2017</v>
      <v>2016</v>
      <v>2019</v>
      <v>2016</v>
      <v>2016</v>
      <v>kilotons per year (2016)</v>
      <v>deaths per 100,000 (2017)</v>
      <v>kWh (2014)</v>
      <v>2014</v>
      <v>2000</v>
      <v>2015</v>
      <v>2015</v>
      <v>2015</v>
      <v>2015</v>
      <v>2015</v>
      <v>2015</v>
      <v>2015</v>
      <v>2015</v>
      <v>2015</v>
      <v>2017</v>
      <v>2019</v>
    </spb>
    <spb s="0">
      <v xml:space="preserve">Wikipedia	Cia	travel.state.gov	</v>
      <v xml:space="preserve">CC-BY-SA			</v>
      <v xml:space="preserve">http://en.wikipedia.org/wiki/Nigeria	https://www.cia.gov/library/publications/the-world-factbook/geos/ni.html?Transportation	https://travel.state.gov/content/travel/en/international-travel/International-Travel-Country-Information-Pages/Nigeria.html	</v>
      <v xml:space="preserve">http://creativecommons.org/licenses/by-sa/3.0/			</v>
    </spb>
    <spb s="0">
      <v xml:space="preserve">Wikipedia	</v>
      <v xml:space="preserve">CC BY-SA 3.0	</v>
      <v xml:space="preserve">https://en.wikipedia.org/wiki/Nigeria	</v>
      <v xml:space="preserve">https://creativecommons.org/licenses/by-sa/3.0	</v>
    </spb>
    <spb s="0">
      <v xml:space="preserve">Wikipedia	</v>
      <v xml:space="preserve">CC-BY-SA	</v>
      <v xml:space="preserve">http://en.wikipedia.org/wiki/Nigeria	</v>
      <v xml:space="preserve">http://creativecommons.org/licenses/by-sa/3.0/	</v>
    </spb>
    <spb s="0">
      <v xml:space="preserve">Cia	</v>
      <v xml:space="preserve">	</v>
      <v xml:space="preserve">https://www.cia.gov/library/publications/the-world-factbook/geos/ni.html?Transportation	</v>
      <v xml:space="preserve">	</v>
    </spb>
    <spb s="9">
      <v>0</v>
      <v>84</v>
      <v>85</v>
      <v>85</v>
      <v>3</v>
      <v>85</v>
      <v>85</v>
      <v>85</v>
      <v>86</v>
      <v>85</v>
      <v>85</v>
      <v>86</v>
      <v>85</v>
      <v>85</v>
      <v>87</v>
      <v>6</v>
      <v>84</v>
      <v>87</v>
      <v>7</v>
      <v>85</v>
      <v>87</v>
      <v>8</v>
      <v>9</v>
      <v>10</v>
      <v>87</v>
      <v>87</v>
      <v>85</v>
      <v>87</v>
      <v>11</v>
      <v>12</v>
      <v>13</v>
      <v>14</v>
      <v>87</v>
      <v>84</v>
      <v>87</v>
      <v>87</v>
      <v>87</v>
      <v>87</v>
      <v>87</v>
      <v>87</v>
      <v>87</v>
      <v>87</v>
      <v>87</v>
      <v>87</v>
      <v>15</v>
    </spb>
    <spb s="10">
      <v>2019</v>
      <v>2019</v>
      <v>square km</v>
      <v>per thousand (2018)</v>
      <v>2025</v>
      <v>2019</v>
      <v>2018</v>
      <v>per liter (2016)</v>
      <v>2019</v>
      <v>years (2018)</v>
      <v>2013</v>
      <v>per thousand (2018)</v>
      <v>2019</v>
      <v>2017</v>
      <v>2016</v>
      <v>2019</v>
      <v>2016</v>
      <v>2018</v>
      <v>kilotons per year (2016)</v>
      <v>deaths per 100,000 (2017)</v>
      <v>kWh (2014)</v>
      <v>2014</v>
      <v>2019</v>
      <v>2009</v>
      <v>2009</v>
      <v>2009</v>
      <v>2009</v>
      <v>2009</v>
      <v>2015</v>
      <v>2009</v>
      <v>2009</v>
      <v>2016</v>
      <v>2011</v>
      <v>2019</v>
    </spb>
    <spb s="0">
      <v xml:space="preserve">Wikipedia	Wikipedia	Cia	travel.state.gov	</v>
      <v xml:space="preserve">CC-BY-SA	CC-BY-SA			</v>
      <v xml:space="preserve">http://en.wikipedia.org/wiki/Myanmar	http://en.wikipedia.org/wiki/Burma	https://www.cia.gov/library/publications/the-world-factbook/geos/bm.html?Transportation	https://travel.state.gov/content/travel/en/international-travel/International-Travel-Country-Information-Pages/Burma.html	</v>
      <v xml:space="preserve">http://creativecommons.org/licenses/by-sa/3.0/	http://creativecommons.org/licenses/by-sa/3.0/			</v>
    </spb>
    <spb s="0">
      <v xml:space="preserve">Wikipedia	</v>
      <v xml:space="preserve">CC BY-SA 3.0	</v>
      <v xml:space="preserve">https://en.wikipedia.org/wiki/Myanmar	</v>
      <v xml:space="preserve">https://creativecommons.org/licenses/by-sa/3.0	</v>
    </spb>
    <spb s="0">
      <v xml:space="preserve">Wikipedia	</v>
      <v xml:space="preserve">CC-BY-SA	</v>
      <v xml:space="preserve">http://en.wikipedia.org/wiki/Myanmar	</v>
      <v xml:space="preserve">http://creativecommons.org/licenses/by-sa/3.0/	</v>
    </spb>
    <spb s="0">
      <v xml:space="preserve">Cia	</v>
      <v xml:space="preserve">	</v>
      <v xml:space="preserve">https://www.cia.gov/library/publications/the-world-factbook/geos/bm.html?Transportation	</v>
      <v xml:space="preserve">	</v>
    </spb>
    <spb s="15">
      <v>0</v>
      <v>90</v>
      <v>91</v>
      <v>91</v>
      <v>3</v>
      <v>91</v>
      <v>91</v>
      <v>91</v>
      <v>92</v>
      <v>91</v>
      <v>91</v>
      <v>92</v>
      <v>91</v>
      <v>91</v>
      <v>93</v>
      <v>6</v>
      <v>90</v>
      <v>93</v>
      <v>7</v>
      <v>91</v>
      <v>93</v>
      <v>8</v>
      <v>9</v>
      <v>10</v>
      <v>93</v>
      <v>93</v>
      <v>91</v>
      <v>93</v>
      <v>11</v>
      <v>12</v>
      <v>13</v>
      <v>14</v>
      <v>93</v>
      <v>93</v>
      <v>93</v>
      <v>93</v>
      <v>93</v>
      <v>93</v>
      <v>93</v>
      <v>93</v>
      <v>93</v>
      <v>93</v>
      <v>93</v>
      <v>15</v>
    </spb>
    <spb s="2">
      <v>4</v>
      <v>Name</v>
      <v>LearnMoreOnLink</v>
    </spb>
    <spb s="16">
      <v>2019</v>
      <v>2019</v>
      <v>square km</v>
      <v>per thousand (2018)</v>
      <v>2025</v>
      <v>2019</v>
      <v>2018</v>
      <v>per liter (2016)</v>
      <v>2019</v>
      <v>years (2018)</v>
      <v>2019</v>
      <v>per thousand (2018)</v>
      <v>2019</v>
      <v>2017</v>
      <v>2016</v>
      <v>2019</v>
      <v>2016</v>
      <v>2018</v>
      <v>kilotons per year (2016)</v>
      <v>deaths per 100,000 (2017)</v>
      <v>kWh (2014)</v>
      <v>2014</v>
      <v>2017</v>
      <v>2017</v>
      <v>2017</v>
      <v>2017</v>
      <v>2017</v>
      <v>2015</v>
      <v>2017</v>
      <v>2017</v>
      <v>2018</v>
      <v>2018</v>
      <v>2019</v>
    </spb>
    <spb s="0">
      <v xml:space="preserve">Wikipedia	Cia	travel.state.gov	</v>
      <v xml:space="preserve">CC-BY-SA			</v>
      <v xml:space="preserve">http://en.wikipedia.org/wiki/Mozambique	https://www.cia.gov/library/publications/the-world-factbook/geos/mz.html?Transportation	https://travel.state.gov/content/travel/en/international-travel/International-Travel-Country-Information-Pages/Mozambique.html	</v>
      <v xml:space="preserve">http://creativecommons.org/licenses/by-sa/3.0/			</v>
    </spb>
    <spb s="0">
      <v xml:space="preserve">Wikipedia	</v>
      <v xml:space="preserve">CC BY-SA 3.0	</v>
      <v xml:space="preserve">https://en.wikipedia.org/wiki/Mozambique	</v>
      <v xml:space="preserve">https://creativecommons.org/licenses/by-sa/3.0	</v>
    </spb>
    <spb s="0">
      <v xml:space="preserve">Wikipedia	</v>
      <v xml:space="preserve">CC-BY-SA	</v>
      <v xml:space="preserve">http://en.wikipedia.org/wiki/Mozambique	</v>
      <v xml:space="preserve">http://creativecommons.org/licenses/by-sa/3.0/	</v>
    </spb>
    <spb s="0">
      <v xml:space="preserve">Cia	</v>
      <v xml:space="preserve">	</v>
      <v xml:space="preserve">https://www.cia.gov/library/publications/the-world-factbook/geos/mz.html?Transportation	</v>
      <v xml:space="preserve">	</v>
    </spb>
    <spb s="15">
      <v>0</v>
      <v>97</v>
      <v>98</v>
      <v>98</v>
      <v>3</v>
      <v>98</v>
      <v>98</v>
      <v>98</v>
      <v>99</v>
      <v>98</v>
      <v>98</v>
      <v>99</v>
      <v>98</v>
      <v>98</v>
      <v>100</v>
      <v>6</v>
      <v>97</v>
      <v>100</v>
      <v>7</v>
      <v>98</v>
      <v>100</v>
      <v>8</v>
      <v>9</v>
      <v>10</v>
      <v>100</v>
      <v>100</v>
      <v>98</v>
      <v>100</v>
      <v>11</v>
      <v>12</v>
      <v>13</v>
      <v>14</v>
      <v>100</v>
      <v>100</v>
      <v>100</v>
      <v>100</v>
      <v>100</v>
      <v>100</v>
      <v>100</v>
      <v>100</v>
      <v>100</v>
      <v>100</v>
      <v>100</v>
      <v>15</v>
    </spb>
    <spb s="16">
      <v>2019</v>
      <v>2019</v>
      <v>square km</v>
      <v>per thousand (2018)</v>
      <v>2025</v>
      <v>2019</v>
      <v>2018</v>
      <v>per liter (2016)</v>
      <v>2019</v>
      <v>years (2018)</v>
      <v>2018</v>
      <v>per thousand (2018)</v>
      <v>2019</v>
      <v>2017</v>
      <v>2016</v>
      <v>2019</v>
      <v>2016</v>
      <v>2018</v>
      <v>kilotons per year (2016)</v>
      <v>deaths per 100,000 (2017)</v>
      <v>kWh (2014)</v>
      <v>2014</v>
      <v>2014</v>
      <v>2014</v>
      <v>2014</v>
      <v>2014</v>
      <v>2014</v>
      <v>2015</v>
      <v>2014</v>
      <v>2014</v>
      <v>2018</v>
      <v>2018</v>
      <v>2019</v>
    </spb>
    <spb s="0">
      <v xml:space="preserve">Wikipedia	Cia	travel.state.gov	</v>
      <v xml:space="preserve">CC-BY-SA			</v>
      <v xml:space="preserve">http://en.wikipedia.org/wiki/Zimbabwe	https://www.cia.gov/library/publications/the-world-factbook/geos/zi.html?Transportation	https://travel.state.gov/content/travel/en/international-travel/International-Travel-Country-Information-Pages/Zimbabwe.html	</v>
      <v xml:space="preserve">http://creativecommons.org/licenses/by-sa/3.0/			</v>
    </spb>
    <spb s="0">
      <v xml:space="preserve">Wikipedia	</v>
      <v xml:space="preserve">CC BY-SA 3.0	</v>
      <v xml:space="preserve">https://en.wikipedia.org/wiki/Zimbabwe	</v>
      <v xml:space="preserve">https://creativecommons.org/licenses/by-sa/3.0	</v>
    </spb>
    <spb s="0">
      <v xml:space="preserve">Wikipedia	</v>
      <v xml:space="preserve">CC-BY-SA	</v>
      <v xml:space="preserve">http://en.wikipedia.org/wiki/Zimbabwe	</v>
      <v xml:space="preserve">http://creativecommons.org/licenses/by-sa/3.0/	</v>
    </spb>
    <spb s="0">
      <v xml:space="preserve">Cia	</v>
      <v xml:space="preserve">	</v>
      <v xml:space="preserve">https://www.cia.gov/library/publications/the-world-factbook/geos/zi.html?Transportation	</v>
      <v xml:space="preserve">	</v>
    </spb>
    <spb s="17">
      <v>0</v>
      <v>103</v>
      <v>104</v>
      <v>104</v>
      <v>3</v>
      <v>104</v>
      <v>104</v>
      <v>104</v>
      <v>105</v>
      <v>104</v>
      <v>104</v>
      <v>104</v>
      <v>104</v>
      <v>106</v>
      <v>6</v>
      <v>103</v>
      <v>106</v>
      <v>7</v>
      <v>104</v>
      <v>106</v>
      <v>8</v>
      <v>9</v>
      <v>10</v>
      <v>106</v>
      <v>106</v>
      <v>104</v>
      <v>106</v>
      <v>11</v>
      <v>12</v>
      <v>13</v>
      <v>14</v>
      <v>106</v>
      <v>103</v>
      <v>106</v>
      <v>106</v>
      <v>106</v>
      <v>106</v>
      <v>106</v>
      <v>106</v>
      <v>106</v>
      <v>106</v>
      <v>106</v>
      <v>106</v>
      <v>15</v>
    </spb>
    <spb s="2">
      <v>5</v>
      <v>Name</v>
      <v>LearnMoreOnLink</v>
    </spb>
    <spb s="10">
      <v>2017</v>
      <v>2019</v>
      <v>square km</v>
      <v>per thousand (2018)</v>
      <v>2025</v>
      <v>2017</v>
      <v>2018</v>
      <v>per liter (2016)</v>
      <v>2019</v>
      <v>years (2018)</v>
      <v>2018</v>
      <v>per thousand (2018)</v>
      <v>2019</v>
      <v>2017</v>
      <v>2016</v>
      <v>2019</v>
      <v>2016</v>
      <v>2018</v>
      <v>kilotons per year (2016)</v>
      <v>deaths per 100,000 (2017)</v>
      <v>kWh (2014)</v>
      <v>2013</v>
      <v>1999</v>
      <v>2017</v>
      <v>2017</v>
      <v>2017</v>
      <v>2017</v>
      <v>2017</v>
      <v>2015</v>
      <v>2017</v>
      <v>2017</v>
      <v>2013</v>
      <v>2015</v>
      <v>2019</v>
    </spb>
    <spb s="0">
      <v xml:space="preserve">Wikipedia	Cia	travel.state.gov	</v>
      <v xml:space="preserve">CC-BY-SA			</v>
      <v xml:space="preserve">http://en.wikipedia.org/wiki/Kenya	https://www.cia.gov/library/publications/the-world-factbook/geos/ke.html?Transportation	https://travel.state.gov/content/travel/en/international-travel/International-Travel-Country-Information-Pages/Kenya.html	</v>
      <v xml:space="preserve">http://creativecommons.org/licenses/by-sa/3.0/			</v>
    </spb>
    <spb s="0">
      <v xml:space="preserve">Wikipedia	</v>
      <v xml:space="preserve">CC BY-SA 3.0	</v>
      <v xml:space="preserve">https://en.wikipedia.org/wiki/Kenya	</v>
      <v xml:space="preserve">https://creativecommons.org/licenses/by-sa/3.0	</v>
    </spb>
    <spb s="0">
      <v xml:space="preserve">Wikipedia	</v>
      <v xml:space="preserve">CC-BY-SA	</v>
      <v xml:space="preserve">http://en.wikipedia.org/wiki/Kenya	</v>
      <v xml:space="preserve">http://creativecommons.org/licenses/by-sa/3.0/	</v>
    </spb>
    <spb s="0">
      <v xml:space="preserve">Cia	</v>
      <v xml:space="preserve">	</v>
      <v xml:space="preserve">https://www.cia.gov/library/publications/the-world-factbook/geos/ke.html?Transportation	</v>
      <v xml:space="preserve">	</v>
    </spb>
    <spb s="9">
      <v>0</v>
      <v>110</v>
      <v>111</v>
      <v>111</v>
      <v>3</v>
      <v>111</v>
      <v>111</v>
      <v>111</v>
      <v>112</v>
      <v>111</v>
      <v>111</v>
      <v>112</v>
      <v>111</v>
      <v>111</v>
      <v>113</v>
      <v>6</v>
      <v>110</v>
      <v>113</v>
      <v>7</v>
      <v>111</v>
      <v>113</v>
      <v>8</v>
      <v>9</v>
      <v>10</v>
      <v>113</v>
      <v>113</v>
      <v>111</v>
      <v>113</v>
      <v>11</v>
      <v>12</v>
      <v>13</v>
      <v>14</v>
      <v>113</v>
      <v>110</v>
      <v>113</v>
      <v>113</v>
      <v>113</v>
      <v>113</v>
      <v>113</v>
      <v>113</v>
      <v>113</v>
      <v>113</v>
      <v>113</v>
      <v>113</v>
      <v>15</v>
    </spb>
    <spb s="10">
      <v>2018</v>
      <v>2019</v>
      <v>square km</v>
      <v>per thousand (2018)</v>
      <v>2025</v>
      <v>2018</v>
      <v>2018</v>
      <v>per liter (2016)</v>
      <v>2019</v>
      <v>years (2018)</v>
      <v>2018</v>
      <v>per thousand (2018)</v>
      <v>2019</v>
      <v>2017</v>
      <v>2016</v>
      <v>2019</v>
      <v>2016</v>
      <v>2018</v>
      <v>kilotons per year (2016)</v>
      <v>deaths per 100,000 (2017)</v>
      <v>kWh (2014)</v>
      <v>2014</v>
      <v>2019</v>
      <v>2015</v>
      <v>2015</v>
      <v>2015</v>
      <v>2015</v>
      <v>2015</v>
      <v>2015</v>
      <v>2015</v>
      <v>2015</v>
      <v>2016</v>
      <v>2017</v>
      <v>2019</v>
    </spb>
    <spb s="0">
      <v xml:space="preserve">Wikipedia	Cia	travel.state.gov	</v>
      <v xml:space="preserve">CC-BY-SA			</v>
      <v xml:space="preserve">http://en.wikipedia.org/wiki/Yemen	https://www.cia.gov/library/publications/the-world-factbook/geos/ym.html?Transportation	https://travel.state.gov/content/travel/en/international-travel/International-Travel-Country-Information-Pages/Yemen.html	</v>
      <v xml:space="preserve">http://creativecommons.org/licenses/by-sa/3.0/			</v>
    </spb>
    <spb s="0">
      <v xml:space="preserve">Wikipedia	</v>
      <v xml:space="preserve">CC BY-SA 3.0	</v>
      <v xml:space="preserve">https://en.wikipedia.org/wiki/Yemen	</v>
      <v xml:space="preserve">https://creativecommons.org/licenses/by-sa/3.0	</v>
    </spb>
    <spb s="0">
      <v xml:space="preserve">Wikipedia	</v>
      <v xml:space="preserve">CC-BY-SA	</v>
      <v xml:space="preserve">http://en.wikipedia.org/wiki/Yemen	</v>
      <v xml:space="preserve">http://creativecommons.org/licenses/by-sa/3.0/	</v>
    </spb>
    <spb s="0">
      <v xml:space="preserve">Cia	</v>
      <v xml:space="preserve">	</v>
      <v xml:space="preserve">https://www.cia.gov/library/publications/the-world-factbook/geos/ym.html?Transportation	</v>
      <v xml:space="preserve">	</v>
    </spb>
    <spb s="18">
      <v>0</v>
      <v>116</v>
      <v>117</v>
      <v>117</v>
      <v>3</v>
      <v>117</v>
      <v>117</v>
      <v>117</v>
      <v>118</v>
      <v>117</v>
      <v>117</v>
      <v>117</v>
      <v>117</v>
      <v>119</v>
      <v>6</v>
      <v>116</v>
      <v>119</v>
      <v>7</v>
      <v>117</v>
      <v>8</v>
      <v>9</v>
      <v>10</v>
      <v>119</v>
      <v>119</v>
      <v>117</v>
      <v>119</v>
      <v>11</v>
      <v>12</v>
      <v>13</v>
      <v>14</v>
      <v>119</v>
      <v>119</v>
      <v>119</v>
      <v>119</v>
      <v>119</v>
      <v>119</v>
      <v>119</v>
      <v>119</v>
      <v>119</v>
      <v>119</v>
      <v>119</v>
      <v>15</v>
    </spb>
    <spb s="2">
      <v>6</v>
      <v>Name</v>
      <v>LearnMoreOnLink</v>
    </spb>
    <spb s="19">
      <v>2014</v>
      <v>2018</v>
      <v>square km</v>
      <v>per thousand (2018)</v>
      <v>2025</v>
      <v>2014</v>
      <v>2018</v>
      <v>per liter (2016)</v>
      <v>2019</v>
      <v>years (2018)</v>
      <v>per thousand (2018)</v>
      <v>2019</v>
      <v>2017</v>
      <v>2016</v>
      <v>2019</v>
      <v>2016</v>
      <v>2014</v>
      <v>kilotons per year (2016)</v>
      <v>deaths per 100,000 (2017)</v>
      <v>kWh (2014)</v>
      <v>2013</v>
      <v>2014</v>
      <v>2014</v>
      <v>2014</v>
      <v>2014</v>
      <v>2014</v>
      <v>2015</v>
      <v>2014</v>
      <v>2014</v>
      <v>2016</v>
      <v>2011</v>
      <v>2019</v>
    </spb>
    <spb s="0">
      <v xml:space="preserve">Wikipedia	Cia	travel.state.gov	</v>
      <v xml:space="preserve">CC-BY-SA			</v>
      <v xml:space="preserve">http://en.wikipedia.org/wiki/Oman	https://www.cia.gov/library/publications/the-world-factbook/geos/mu.html?Transportation	https://travel.state.gov/content/travel/en/international-travel/International-Travel-Country-Information-Pages/Oman.html	</v>
      <v xml:space="preserve">http://creativecommons.org/licenses/by-sa/3.0/			</v>
    </spb>
    <spb s="0">
      <v xml:space="preserve">Wikipedia	</v>
      <v xml:space="preserve">CC BY-SA 3.0	</v>
      <v xml:space="preserve">https://en.wikipedia.org/wiki/Oman	</v>
      <v xml:space="preserve">https://creativecommons.org/licenses/by-sa/3.0	</v>
    </spb>
    <spb s="0">
      <v xml:space="preserve">Wikipedia	</v>
      <v xml:space="preserve">CC-BY-SA	</v>
      <v xml:space="preserve">http://en.wikipedia.org/wiki/Oman	</v>
      <v xml:space="preserve">http://creativecommons.org/licenses/by-sa/3.0/	</v>
    </spb>
    <spb s="0">
      <v xml:space="preserve">Cia	</v>
      <v xml:space="preserve">	</v>
      <v xml:space="preserve">https://www.cia.gov/library/publications/the-world-factbook/geos/mu.html?Transportation	</v>
      <v xml:space="preserve">	</v>
    </spb>
    <spb s="20">
      <v>0</v>
      <v>123</v>
      <v>124</v>
      <v>124</v>
      <v>3</v>
      <v>124</v>
      <v>124</v>
      <v>124</v>
      <v>125</v>
      <v>124</v>
      <v>124</v>
      <v>125</v>
      <v>124</v>
      <v>124</v>
      <v>126</v>
      <v>6</v>
      <v>123</v>
      <v>126</v>
      <v>7</v>
      <v>124</v>
      <v>126</v>
      <v>8</v>
      <v>9</v>
      <v>10</v>
      <v>126</v>
      <v>126</v>
      <v>124</v>
      <v>126</v>
      <v>11</v>
      <v>12</v>
      <v>13</v>
      <v>14</v>
      <v>126</v>
      <v>123</v>
      <v>126</v>
      <v>126</v>
      <v>126</v>
      <v>15</v>
    </spb>
    <spb s="2">
      <v>7</v>
      <v>Name</v>
      <v>LearnMoreOnLink</v>
    </spb>
    <spb s="21">
      <v>2019</v>
      <v>2019</v>
      <v>square km</v>
      <v>per thousand (2018)</v>
      <v>2025</v>
      <v>2019</v>
      <v>2018</v>
      <v>per liter (2016)</v>
      <v>2019</v>
      <v>years (2018)</v>
      <v>2013</v>
      <v>per thousand (2018)</v>
      <v>2019</v>
      <v>2017</v>
      <v>2016</v>
      <v>2019</v>
      <v>2016</v>
      <v>2018</v>
      <v>kilotons per year (2016)</v>
      <v>deaths per 100,000 (2017)</v>
      <v>kWh (2014)</v>
      <v>2014</v>
      <v>2019</v>
      <v>2015</v>
      <v>2018</v>
      <v>2018</v>
      <v>2019</v>
    </spb>
  </spbData>
</supportingPropertyBags>
</file>

<file path=xl/richData/rdsupportingpropertybagstructure.xml><?xml version="1.0" encoding="utf-8"?>
<spbStructures xmlns="http://schemas.microsoft.com/office/spreadsheetml/2017/richdata2" count="22">
  <s>
    <k n="SourceText" t="s"/>
    <k n="LicenseText" t="s"/>
    <k n="SourceAddress" t="s"/>
    <k n="LicenseAddress"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Out of pocket health expenditure (%)" t="spb"/>
    <k n="Gross primary education enrollment (%)" t="spb"/>
    <k n="Gross tertiary education enrollment (%)" t="spb"/>
    <k n="Population: Labor force participation (%)" t="spb"/>
  </s>
  <s>
    <k n="^Order" t="spba"/>
    <k n="TitleProperty" t="s"/>
    <k n="SubTitleProperty" t="s"/>
  </s>
  <s>
    <k n="ShowInCardView" t="b"/>
    <k n="ShowInDotNotation" t="b"/>
    <k n="ShowInAutoComplete" t="b"/>
  </s>
  <s>
    <k n="UniqueName" t="spb"/>
    <k n="VDPID/VSID" t="spb"/>
    <k n="LearnMoreOnLink" t="spb"/>
  </s>
  <s>
    <k n="Name" t="i"/>
    <k n="Image" t="i"/>
  </s>
  <s>
    <k n="link" t="s"/>
    <k n="logo" t="s"/>
    <k n="name" t="s"/>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Out of pocket health expenditure (%)" t="s"/>
    <k n="Gross primary education enrollment (%)" t="s"/>
    <k n="Gross tertiary education enrollment (%)" t="s"/>
    <k n="Population: Labor force participation (%)" t="s"/>
  </s>
  <s>
    <k n="_Self" t="i"/>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Out of pocket health expenditure (%)"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Out of pocket health expenditure (%)" t="s"/>
    <k n="Gross primary education enrollment (%)" t="s"/>
    <k n="Gross tertiary education enrollment (%)" t="s"/>
    <k n="Population: Labor force participation (%)"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3" formatCode="#,##0"/>
    </x:dxf>
    <x:dxf>
      <x:numFmt numFmtId="0" formatCode="General"/>
    </x:dxf>
    <x:dxf>
      <x:numFmt numFmtId="2" formatCode="0.00"/>
    </x:dxf>
    <x:dxf>
      <x:numFmt numFmtId="14" formatCode="0.00%"/>
    </x:dxf>
    <x:dxf>
      <x:numFmt numFmtId="4" formatCode="#,##0.00"/>
    </x:dxf>
    <x:dxf>
      <x:numFmt numFmtId="1" formatCode="0"/>
    </x:dxf>
  </dxfs>
  <richProperties>
    <rPr n="IsTitleField" t="b"/>
    <rPr n="IsHeroField" t="b"/>
    <rPr n="NumberFormat" t="s"/>
  </richProperties>
  <richStyles>
    <rSty>
      <rpv i="0">1</rpv>
    </rSty>
    <rSty>
      <rpv i="1">1</rpv>
    </rSty>
    <rSty dxfid="3">
      <rpv i="2">0.0%</rpv>
    </rSty>
    <rSty dxfid="0">
      <rpv i="2">#,##0</rpv>
    </rSty>
    <rSty dxfid="2">
      <rpv i="2">0.00</rpv>
    </rSty>
    <rSty dxfid="5">
      <rpv i="2">0</rpv>
    </rSty>
    <rSty dxfid="4">
      <rpv i="2">#,##0.00</rpv>
    </rSty>
    <rSty dxfid="1">
      <rpv i="2">0.0</rpv>
    </rSty>
    <rSty dxfid="1">
      <rpv i="2">_([$$-en-US]* #,##0.00_);_([$$-en-US]* (#,##0.00);_([$$-en-US]* "-"??_);_(@_)</rpv>
    </rSty>
    <rSty dxfid="1">
      <rpv i="2">_([$$-en-US]* #,##0_);_([$$-en-US]* (#,##0);_([$$-en-US]* "-"_);_(@_)</rpv>
    </rSty>
    <rSty dxfid="3"/>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3:G50">
  <tableColumns count="7">
    <tableColumn id="1" xr3:uid="{00000000-0010-0000-0000-000001000000}" name="No"/>
    <tableColumn id="2" xr3:uid="{00000000-0010-0000-0000-000002000000}" name="Nama"/>
    <tableColumn id="10" xr3:uid="{6526092A-1E0A-4D18-83A4-ACD33CB9FE8B}" name="Nationality" dataDxfId="0"/>
    <tableColumn id="4" xr3:uid="{00000000-0010-0000-0000-000004000000}" name="Program"/>
    <tableColumn id="5" xr3:uid="{00000000-0010-0000-0000-000005000000}" name="Fakultas"/>
    <tableColumn id="6" xr3:uid="{00000000-0010-0000-0000-000006000000}" name="Size Baju"/>
    <tableColumn id="8" xr3:uid="{00000000-0010-0000-0000-000008000000}" name="sEX"/>
  </tableColumns>
  <tableStyleInfo name="Partisipan FIXED-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hyperlink" Target="https://unairacid-my.sharepoint.com/:b:/g/personal/zefanyakharisma_drive_unair_ac_id/EeOrVah4-oRAk1EKoToyYvQBa60k9Fd8ITDrO_S4C6sjSQ?e=kIrfY2" TargetMode="External"/><Relationship Id="rId2" Type="http://schemas.openxmlformats.org/officeDocument/2006/relationships/hyperlink" Target="https://unairacid-my.sharepoint.com/:b:/g/personal/zefanyakharisma_drive_unair_ac_id/Eejd0dkTvXtGk3UlSK_YwtoBWdGAUSY_d1yRhdtNarsopg?e=5llQdQ" TargetMode="External"/><Relationship Id="rId1" Type="http://schemas.openxmlformats.org/officeDocument/2006/relationships/hyperlink" Target="https://unairacid-my.sharepoint.com/:b:/g/personal/zefanyakharisma_drive_unair_ac_id/EdqOUXY8BRFCghFS_p9fgpMBMjc_G_SmiAF2Nytaxp0Q3Q?e=Lh1Z2b" TargetMode="External"/><Relationship Id="rId6" Type="http://schemas.openxmlformats.org/officeDocument/2006/relationships/hyperlink" Target="https://unairacid-my.sharepoint.com/:b:/g/personal/zefanyakharisma_drive_unair_ac_id/ET38iZTreBZKtVbgJqKVdHABJWAtaMQ-0kHIogPap5lZ8A?e=J7kaJO" TargetMode="External"/><Relationship Id="rId5" Type="http://schemas.openxmlformats.org/officeDocument/2006/relationships/hyperlink" Target="https://unairacid-my.sharepoint.com/:i:/g/personal/zefanyakharisma_drive_unair_ac_id/EUIVibs9W_hGldK2kpKS0NoBCO4Y7KozY6kstC_23nglcg?e=7uMb4q" TargetMode="External"/><Relationship Id="rId4" Type="http://schemas.openxmlformats.org/officeDocument/2006/relationships/hyperlink" Target="https://unairacid-my.sharepoint.com/:i:/g/personal/zefanyakharisma_drive_unair_ac_id/EQYaNYVULtxCixt8x4bUEToB9KA5SuxXK0NloFLN0CX0Xg?e=lVvAz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70323-4682-4A9E-8007-215A2E9F6BD1}">
  <dimension ref="A1:B7"/>
  <sheetViews>
    <sheetView tabSelected="1" workbookViewId="0">
      <selection activeCell="A5" sqref="A5:A6"/>
    </sheetView>
  </sheetViews>
  <sheetFormatPr defaultRowHeight="12.75" x14ac:dyDescent="0.2"/>
  <cols>
    <col min="2" max="2" width="27.5703125" customWidth="1"/>
  </cols>
  <sheetData>
    <row r="1" spans="1:2" x14ac:dyDescent="0.2">
      <c r="A1" s="60" t="s">
        <v>469</v>
      </c>
      <c r="B1" s="60"/>
    </row>
    <row r="2" spans="1:2" x14ac:dyDescent="0.2">
      <c r="A2" s="61" t="s">
        <v>46</v>
      </c>
      <c r="B2" s="61" t="s">
        <v>470</v>
      </c>
    </row>
    <row r="3" spans="1:2" x14ac:dyDescent="0.2">
      <c r="A3" s="63" t="s">
        <v>471</v>
      </c>
      <c r="B3" s="62" t="s">
        <v>45</v>
      </c>
    </row>
    <row r="4" spans="1:2" x14ac:dyDescent="0.2">
      <c r="A4" s="64"/>
      <c r="B4" s="62" t="s">
        <v>21</v>
      </c>
    </row>
    <row r="5" spans="1:2" x14ac:dyDescent="0.2">
      <c r="A5" s="63" t="s">
        <v>24</v>
      </c>
      <c r="B5" s="62" t="s">
        <v>472</v>
      </c>
    </row>
    <row r="6" spans="1:2" x14ac:dyDescent="0.2">
      <c r="A6" s="64"/>
      <c r="B6" s="62" t="s">
        <v>473</v>
      </c>
    </row>
    <row r="7" spans="1:2" x14ac:dyDescent="0.2">
      <c r="A7" s="61" t="s">
        <v>474</v>
      </c>
      <c r="B7" s="62" t="s">
        <v>475</v>
      </c>
    </row>
  </sheetData>
  <mergeCells count="3">
    <mergeCell ref="A1:B1"/>
    <mergeCell ref="A3:A4"/>
    <mergeCell ref="A5:A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977"/>
  <sheetViews>
    <sheetView workbookViewId="0">
      <selection activeCell="H1" sqref="H1:H1048576"/>
    </sheetView>
  </sheetViews>
  <sheetFormatPr defaultColWidth="12.5703125" defaultRowHeight="15" customHeight="1" x14ac:dyDescent="0.2"/>
  <cols>
    <col min="1" max="1" width="5" customWidth="1"/>
    <col min="2" max="2" width="29.5703125" customWidth="1"/>
    <col min="3" max="3" width="25.5703125" customWidth="1"/>
    <col min="4" max="4" width="25.42578125" customWidth="1"/>
    <col min="5" max="5" width="34.140625" customWidth="1"/>
    <col min="6" max="6" width="15.42578125" customWidth="1"/>
    <col min="7" max="7" width="25.28515625" customWidth="1"/>
  </cols>
  <sheetData>
    <row r="1" spans="1:9" ht="15.75" customHeight="1" x14ac:dyDescent="0.2">
      <c r="A1" s="22"/>
      <c r="B1" s="27"/>
    </row>
    <row r="2" spans="1:9" ht="15.75" customHeight="1" x14ac:dyDescent="0.2">
      <c r="A2" s="22"/>
      <c r="B2" s="27"/>
    </row>
    <row r="3" spans="1:9" ht="15.75" customHeight="1" x14ac:dyDescent="0.2">
      <c r="A3" s="28" t="s">
        <v>2</v>
      </c>
      <c r="B3" s="29" t="s">
        <v>47</v>
      </c>
      <c r="C3" s="30" t="s">
        <v>129</v>
      </c>
      <c r="D3" s="30" t="s">
        <v>48</v>
      </c>
      <c r="E3" s="30" t="s">
        <v>49</v>
      </c>
      <c r="F3" s="30" t="s">
        <v>50</v>
      </c>
      <c r="G3" s="31" t="s">
        <v>51</v>
      </c>
    </row>
    <row r="4" spans="1:9" ht="15.75" customHeight="1" x14ac:dyDescent="0.2">
      <c r="A4" s="32">
        <v>1</v>
      </c>
      <c r="B4" s="33" t="s">
        <v>52</v>
      </c>
      <c r="C4" s="34" t="e" vm="1">
        <v>#VALUE!</v>
      </c>
      <c r="D4" s="35" t="s">
        <v>53</v>
      </c>
      <c r="E4" s="35" t="s">
        <v>54</v>
      </c>
      <c r="F4" s="35" t="s">
        <v>55</v>
      </c>
      <c r="G4" s="35" t="s">
        <v>56</v>
      </c>
      <c r="I4" s="22">
        <f>COUNTIF(Participant!$F$4:$F$50,"S")</f>
        <v>3</v>
      </c>
    </row>
    <row r="5" spans="1:9" ht="15.75" customHeight="1" x14ac:dyDescent="0.2">
      <c r="A5" s="36">
        <v>2</v>
      </c>
      <c r="B5" s="33" t="s">
        <v>57</v>
      </c>
      <c r="C5" s="34" t="e" vm="2">
        <v>#VALUE!</v>
      </c>
      <c r="D5" s="37" t="s">
        <v>53</v>
      </c>
      <c r="E5" s="37" t="s">
        <v>58</v>
      </c>
      <c r="F5" s="37" t="s">
        <v>59</v>
      </c>
      <c r="G5" s="37" t="s">
        <v>56</v>
      </c>
    </row>
    <row r="6" spans="1:9" ht="15.75" customHeight="1" x14ac:dyDescent="0.2">
      <c r="A6" s="32">
        <v>3</v>
      </c>
      <c r="B6" s="33" t="s">
        <v>60</v>
      </c>
      <c r="C6" s="34" t="e" vm="3">
        <v>#VALUE!</v>
      </c>
      <c r="D6" s="35" t="s">
        <v>53</v>
      </c>
      <c r="E6" s="35" t="s">
        <v>61</v>
      </c>
      <c r="F6" s="35" t="s">
        <v>59</v>
      </c>
      <c r="G6" s="35" t="s">
        <v>59</v>
      </c>
    </row>
    <row r="7" spans="1:9" ht="15.75" customHeight="1" x14ac:dyDescent="0.2">
      <c r="A7" s="32">
        <v>4</v>
      </c>
      <c r="B7" s="33" t="s">
        <v>62</v>
      </c>
      <c r="C7" s="34" t="e" vm="4">
        <v>#VALUE!</v>
      </c>
      <c r="D7" s="37" t="s">
        <v>53</v>
      </c>
      <c r="E7" s="37" t="s">
        <v>61</v>
      </c>
      <c r="F7" s="37" t="s">
        <v>63</v>
      </c>
      <c r="G7" s="37" t="s">
        <v>59</v>
      </c>
    </row>
    <row r="8" spans="1:9" ht="15.75" customHeight="1" x14ac:dyDescent="0.2">
      <c r="A8" s="36">
        <v>5</v>
      </c>
      <c r="B8" s="38" t="s">
        <v>64</v>
      </c>
      <c r="C8" s="34" t="e" vm="3">
        <v>#VALUE!</v>
      </c>
      <c r="D8" s="35" t="s">
        <v>53</v>
      </c>
      <c r="E8" s="35" t="s">
        <v>58</v>
      </c>
      <c r="F8" s="35" t="s">
        <v>65</v>
      </c>
      <c r="G8" s="35" t="s">
        <v>56</v>
      </c>
    </row>
    <row r="9" spans="1:9" ht="15.75" customHeight="1" x14ac:dyDescent="0.2">
      <c r="A9" s="32">
        <v>6</v>
      </c>
      <c r="B9" s="38" t="s">
        <v>66</v>
      </c>
      <c r="C9" s="34" t="e" vm="5">
        <v>#VALUE!</v>
      </c>
      <c r="D9" s="37" t="s">
        <v>53</v>
      </c>
      <c r="E9" s="37" t="s">
        <v>67</v>
      </c>
      <c r="F9" s="37" t="s">
        <v>68</v>
      </c>
      <c r="G9" s="37" t="s">
        <v>56</v>
      </c>
    </row>
    <row r="10" spans="1:9" ht="15.75" customHeight="1" x14ac:dyDescent="0.2">
      <c r="A10" s="32">
        <v>7</v>
      </c>
      <c r="B10" s="38" t="s">
        <v>69</v>
      </c>
      <c r="C10" s="34" t="e" vm="5">
        <v>#VALUE!</v>
      </c>
      <c r="D10" s="35" t="s">
        <v>53</v>
      </c>
      <c r="E10" s="35" t="s">
        <v>70</v>
      </c>
      <c r="F10" s="35" t="s">
        <v>59</v>
      </c>
      <c r="G10" s="35" t="s">
        <v>56</v>
      </c>
    </row>
    <row r="11" spans="1:9" ht="15.75" customHeight="1" x14ac:dyDescent="0.2">
      <c r="A11" s="36">
        <v>8</v>
      </c>
      <c r="B11" s="38" t="s">
        <v>71</v>
      </c>
      <c r="C11" s="34" t="e" vm="4">
        <v>#VALUE!</v>
      </c>
      <c r="D11" s="37" t="s">
        <v>53</v>
      </c>
      <c r="E11" s="37" t="s">
        <v>58</v>
      </c>
      <c r="F11" s="37" t="s">
        <v>68</v>
      </c>
      <c r="G11" s="37" t="s">
        <v>59</v>
      </c>
    </row>
    <row r="12" spans="1:9" ht="15.75" customHeight="1" x14ac:dyDescent="0.2">
      <c r="A12" s="32">
        <v>9</v>
      </c>
      <c r="B12" s="38" t="s">
        <v>72</v>
      </c>
      <c r="C12" s="34" t="e" vm="6">
        <v>#VALUE!</v>
      </c>
      <c r="D12" s="35" t="s">
        <v>53</v>
      </c>
      <c r="E12" s="35" t="s">
        <v>73</v>
      </c>
      <c r="F12" s="35" t="s">
        <v>59</v>
      </c>
      <c r="G12" s="35" t="s">
        <v>59</v>
      </c>
    </row>
    <row r="13" spans="1:9" ht="15.75" customHeight="1" x14ac:dyDescent="0.2">
      <c r="A13" s="32">
        <v>10</v>
      </c>
      <c r="B13" s="37" t="s">
        <v>74</v>
      </c>
      <c r="C13" s="37" t="e" vm="5">
        <v>#VALUE!</v>
      </c>
      <c r="D13" s="37" t="s">
        <v>53</v>
      </c>
      <c r="E13" s="37" t="s">
        <v>75</v>
      </c>
      <c r="F13" s="37" t="s">
        <v>63</v>
      </c>
      <c r="G13" s="37" t="s">
        <v>56</v>
      </c>
    </row>
    <row r="14" spans="1:9" ht="15.75" customHeight="1" x14ac:dyDescent="0.2">
      <c r="A14" s="36">
        <v>11</v>
      </c>
      <c r="B14" s="38" t="s">
        <v>76</v>
      </c>
      <c r="C14" s="34" t="e" vm="5">
        <v>#VALUE!</v>
      </c>
      <c r="D14" s="35" t="s">
        <v>53</v>
      </c>
      <c r="E14" s="35" t="s">
        <v>77</v>
      </c>
      <c r="F14" s="35" t="s">
        <v>68</v>
      </c>
      <c r="G14" s="35" t="s">
        <v>56</v>
      </c>
    </row>
    <row r="15" spans="1:9" ht="15.75" customHeight="1" x14ac:dyDescent="0.2">
      <c r="A15" s="32">
        <v>12</v>
      </c>
      <c r="B15" s="38" t="s">
        <v>78</v>
      </c>
      <c r="C15" s="34" t="e" vm="7">
        <v>#VALUE!</v>
      </c>
      <c r="D15" s="37" t="s">
        <v>53</v>
      </c>
      <c r="E15" s="37" t="s">
        <v>79</v>
      </c>
      <c r="F15" s="37" t="s">
        <v>59</v>
      </c>
      <c r="G15" s="37" t="s">
        <v>56</v>
      </c>
    </row>
    <row r="16" spans="1:9" ht="15.75" customHeight="1" x14ac:dyDescent="0.2">
      <c r="A16" s="32">
        <v>13</v>
      </c>
      <c r="B16" s="38" t="s">
        <v>80</v>
      </c>
      <c r="C16" s="34" t="e" vm="8">
        <v>#VALUE!</v>
      </c>
      <c r="D16" s="35" t="s">
        <v>81</v>
      </c>
      <c r="E16" s="35" t="s">
        <v>82</v>
      </c>
      <c r="F16" s="35" t="s">
        <v>63</v>
      </c>
      <c r="G16" s="35" t="s">
        <v>59</v>
      </c>
    </row>
    <row r="17" spans="1:7" ht="15.75" customHeight="1" x14ac:dyDescent="0.2">
      <c r="A17" s="36">
        <v>14</v>
      </c>
      <c r="B17" s="33" t="s">
        <v>83</v>
      </c>
      <c r="C17" s="34" t="e" vm="9">
        <v>#VALUE!</v>
      </c>
      <c r="D17" s="37" t="s">
        <v>81</v>
      </c>
      <c r="E17" s="37" t="s">
        <v>54</v>
      </c>
      <c r="F17" s="37" t="s">
        <v>65</v>
      </c>
      <c r="G17" s="37" t="s">
        <v>56</v>
      </c>
    </row>
    <row r="18" spans="1:7" ht="15.75" customHeight="1" x14ac:dyDescent="0.2">
      <c r="A18" s="32">
        <v>15</v>
      </c>
      <c r="B18" s="38" t="s">
        <v>84</v>
      </c>
      <c r="C18" s="34" t="e" vm="10">
        <v>#VALUE!</v>
      </c>
      <c r="D18" s="35" t="s">
        <v>81</v>
      </c>
      <c r="E18" s="35" t="s">
        <v>85</v>
      </c>
      <c r="F18" s="35" t="s">
        <v>65</v>
      </c>
      <c r="G18" s="35" t="s">
        <v>56</v>
      </c>
    </row>
    <row r="19" spans="1:7" ht="15.75" customHeight="1" x14ac:dyDescent="0.2">
      <c r="A19" s="32">
        <v>16</v>
      </c>
      <c r="B19" s="38" t="s">
        <v>86</v>
      </c>
      <c r="C19" s="34" t="e" vm="11">
        <v>#VALUE!</v>
      </c>
      <c r="D19" s="37" t="s">
        <v>81</v>
      </c>
      <c r="E19" s="37" t="s">
        <v>87</v>
      </c>
      <c r="F19" s="37" t="s">
        <v>59</v>
      </c>
      <c r="G19" s="37" t="s">
        <v>56</v>
      </c>
    </row>
    <row r="20" spans="1:7" ht="15.75" customHeight="1" x14ac:dyDescent="0.2">
      <c r="A20" s="36">
        <v>17</v>
      </c>
      <c r="B20" s="38" t="s">
        <v>88</v>
      </c>
      <c r="C20" s="34" t="e" vm="7">
        <v>#VALUE!</v>
      </c>
      <c r="D20" s="35" t="s">
        <v>81</v>
      </c>
      <c r="E20" s="35" t="s">
        <v>85</v>
      </c>
      <c r="F20" s="35" t="s">
        <v>68</v>
      </c>
      <c r="G20" s="35" t="s">
        <v>59</v>
      </c>
    </row>
    <row r="21" spans="1:7" ht="15.75" customHeight="1" x14ac:dyDescent="0.2">
      <c r="A21" s="32">
        <v>18</v>
      </c>
      <c r="B21" s="37" t="s">
        <v>89</v>
      </c>
      <c r="C21" s="37" t="e" vm="12">
        <v>#VALUE!</v>
      </c>
      <c r="D21" s="37" t="s">
        <v>81</v>
      </c>
      <c r="E21" s="37" t="s">
        <v>90</v>
      </c>
      <c r="F21" s="37" t="s">
        <v>63</v>
      </c>
      <c r="G21" s="37" t="s">
        <v>56</v>
      </c>
    </row>
    <row r="22" spans="1:7" ht="15.75" customHeight="1" x14ac:dyDescent="0.2">
      <c r="A22" s="32">
        <v>19</v>
      </c>
      <c r="B22" s="38" t="s">
        <v>91</v>
      </c>
      <c r="C22" s="34" t="e" vm="13">
        <v>#VALUE!</v>
      </c>
      <c r="D22" s="35" t="s">
        <v>92</v>
      </c>
      <c r="E22" s="35" t="s">
        <v>93</v>
      </c>
      <c r="F22" s="35" t="s">
        <v>63</v>
      </c>
      <c r="G22" s="35" t="s">
        <v>59</v>
      </c>
    </row>
    <row r="23" spans="1:7" ht="15.75" customHeight="1" x14ac:dyDescent="0.2">
      <c r="A23" s="36">
        <v>20</v>
      </c>
      <c r="B23" s="38" t="s">
        <v>94</v>
      </c>
      <c r="C23" s="34" t="e" vm="14">
        <v>#VALUE!</v>
      </c>
      <c r="D23" s="37" t="s">
        <v>92</v>
      </c>
      <c r="E23" s="37" t="s">
        <v>95</v>
      </c>
      <c r="F23" s="37" t="s">
        <v>63</v>
      </c>
      <c r="G23" s="37" t="s">
        <v>59</v>
      </c>
    </row>
    <row r="24" spans="1:7" ht="15.75" customHeight="1" x14ac:dyDescent="0.2">
      <c r="A24" s="32">
        <v>21</v>
      </c>
      <c r="B24" s="38" t="s">
        <v>96</v>
      </c>
      <c r="C24" s="34" t="e" vm="13">
        <v>#VALUE!</v>
      </c>
      <c r="D24" s="35" t="s">
        <v>92</v>
      </c>
      <c r="E24" s="35" t="s">
        <v>93</v>
      </c>
      <c r="F24" s="35" t="s">
        <v>59</v>
      </c>
      <c r="G24" s="35" t="s">
        <v>56</v>
      </c>
    </row>
    <row r="25" spans="1:7" ht="15.75" customHeight="1" x14ac:dyDescent="0.2">
      <c r="A25" s="32">
        <v>22</v>
      </c>
      <c r="B25" s="38" t="s">
        <v>97</v>
      </c>
      <c r="C25" s="34" t="e" vm="10">
        <v>#VALUE!</v>
      </c>
      <c r="D25" s="37" t="s">
        <v>92</v>
      </c>
      <c r="E25" s="37" t="s">
        <v>95</v>
      </c>
      <c r="F25" s="37" t="s">
        <v>59</v>
      </c>
      <c r="G25" s="37" t="s">
        <v>59</v>
      </c>
    </row>
    <row r="26" spans="1:7" ht="15.75" customHeight="1" x14ac:dyDescent="0.2">
      <c r="A26" s="36">
        <v>23</v>
      </c>
      <c r="B26" s="38" t="s">
        <v>98</v>
      </c>
      <c r="C26" s="34" t="e" vm="14">
        <v>#VALUE!</v>
      </c>
      <c r="D26" s="35" t="s">
        <v>92</v>
      </c>
      <c r="E26" s="35" t="s">
        <v>93</v>
      </c>
      <c r="F26" s="35" t="s">
        <v>99</v>
      </c>
      <c r="G26" s="35" t="s">
        <v>56</v>
      </c>
    </row>
    <row r="27" spans="1:7" ht="15.75" customHeight="1" x14ac:dyDescent="0.2">
      <c r="A27" s="32">
        <v>24</v>
      </c>
      <c r="B27" s="39" t="s">
        <v>100</v>
      </c>
      <c r="C27" s="34" t="e" vm="10">
        <v>#VALUE!</v>
      </c>
      <c r="D27" s="37" t="s">
        <v>101</v>
      </c>
      <c r="E27" s="37" t="s">
        <v>102</v>
      </c>
      <c r="F27" s="37" t="s">
        <v>68</v>
      </c>
      <c r="G27" s="37" t="s">
        <v>59</v>
      </c>
    </row>
    <row r="28" spans="1:7" ht="15.75" customHeight="1" x14ac:dyDescent="0.2">
      <c r="A28" s="32">
        <v>25</v>
      </c>
      <c r="B28" s="40" t="s">
        <v>103</v>
      </c>
      <c r="C28" s="34" t="e" vm="10">
        <v>#VALUE!</v>
      </c>
      <c r="D28" s="35" t="s">
        <v>101</v>
      </c>
      <c r="E28" s="35" t="s">
        <v>95</v>
      </c>
      <c r="F28" s="35" t="s">
        <v>99</v>
      </c>
      <c r="G28" s="35" t="s">
        <v>59</v>
      </c>
    </row>
    <row r="29" spans="1:7" ht="15.75" customHeight="1" x14ac:dyDescent="0.2">
      <c r="A29" s="36">
        <v>26</v>
      </c>
      <c r="B29" s="37" t="s">
        <v>104</v>
      </c>
      <c r="C29" s="34" t="e" vm="15">
        <v>#VALUE!</v>
      </c>
      <c r="D29" s="37" t="s">
        <v>101</v>
      </c>
      <c r="E29" s="37" t="s">
        <v>105</v>
      </c>
      <c r="F29" s="37" t="s">
        <v>59</v>
      </c>
      <c r="G29" s="37" t="s">
        <v>59</v>
      </c>
    </row>
    <row r="30" spans="1:7" ht="15.75" customHeight="1" x14ac:dyDescent="0.2">
      <c r="A30" s="32">
        <v>27</v>
      </c>
      <c r="B30" s="35" t="s">
        <v>106</v>
      </c>
      <c r="C30" s="34" t="e" vm="7">
        <v>#VALUE!</v>
      </c>
      <c r="D30" s="35" t="s">
        <v>101</v>
      </c>
      <c r="E30" s="35" t="s">
        <v>95</v>
      </c>
      <c r="F30" s="35" t="s">
        <v>99</v>
      </c>
      <c r="G30" s="35" t="s">
        <v>59</v>
      </c>
    </row>
    <row r="31" spans="1:7" ht="15.75" customHeight="1" x14ac:dyDescent="0.2">
      <c r="A31" s="32">
        <v>28</v>
      </c>
      <c r="B31" s="37" t="s">
        <v>107</v>
      </c>
      <c r="C31" s="34" t="e" vm="16">
        <v>#VALUE!</v>
      </c>
      <c r="D31" s="37" t="s">
        <v>101</v>
      </c>
      <c r="E31" s="37" t="s">
        <v>95</v>
      </c>
      <c r="F31" s="37" t="s">
        <v>99</v>
      </c>
      <c r="G31" s="37" t="s">
        <v>59</v>
      </c>
    </row>
    <row r="32" spans="1:7" ht="15.75" customHeight="1" x14ac:dyDescent="0.2">
      <c r="A32" s="36">
        <v>29</v>
      </c>
      <c r="B32" s="37" t="s">
        <v>108</v>
      </c>
      <c r="C32" s="34" t="s">
        <v>130</v>
      </c>
      <c r="D32" s="37" t="s">
        <v>109</v>
      </c>
      <c r="E32" s="37" t="s">
        <v>110</v>
      </c>
      <c r="F32" s="37" t="s">
        <v>68</v>
      </c>
      <c r="G32" s="37" t="s">
        <v>56</v>
      </c>
    </row>
    <row r="33" spans="1:7" ht="15.75" customHeight="1" x14ac:dyDescent="0.2">
      <c r="A33" s="32">
        <v>30</v>
      </c>
      <c r="B33" s="35" t="s">
        <v>111</v>
      </c>
      <c r="C33" s="34" t="s">
        <v>130</v>
      </c>
      <c r="D33" s="35" t="s">
        <v>109</v>
      </c>
      <c r="E33" s="35" t="s">
        <v>110</v>
      </c>
      <c r="F33" s="35" t="s">
        <v>68</v>
      </c>
      <c r="G33" s="35" t="s">
        <v>56</v>
      </c>
    </row>
    <row r="34" spans="1:7" ht="15.75" customHeight="1" x14ac:dyDescent="0.2">
      <c r="A34" s="32">
        <v>31</v>
      </c>
      <c r="B34" s="37" t="s">
        <v>112</v>
      </c>
      <c r="C34" s="34" t="s">
        <v>130</v>
      </c>
      <c r="D34" s="37" t="s">
        <v>109</v>
      </c>
      <c r="E34" s="37" t="s">
        <v>110</v>
      </c>
      <c r="F34" s="37" t="s">
        <v>63</v>
      </c>
      <c r="G34" s="37" t="s">
        <v>56</v>
      </c>
    </row>
    <row r="35" spans="1:7" ht="15.75" customHeight="1" x14ac:dyDescent="0.2">
      <c r="A35" s="36">
        <v>32</v>
      </c>
      <c r="B35" s="35" t="s">
        <v>113</v>
      </c>
      <c r="C35" s="34" t="s">
        <v>130</v>
      </c>
      <c r="D35" s="35" t="s">
        <v>109</v>
      </c>
      <c r="E35" s="35" t="s">
        <v>110</v>
      </c>
      <c r="F35" s="35" t="s">
        <v>55</v>
      </c>
      <c r="G35" s="35" t="s">
        <v>56</v>
      </c>
    </row>
    <row r="36" spans="1:7" ht="15.75" customHeight="1" x14ac:dyDescent="0.2">
      <c r="A36" s="32">
        <v>33</v>
      </c>
      <c r="B36" s="37" t="s">
        <v>114</v>
      </c>
      <c r="C36" s="34" t="s">
        <v>130</v>
      </c>
      <c r="D36" s="37" t="s">
        <v>109</v>
      </c>
      <c r="E36" s="37" t="s">
        <v>110</v>
      </c>
      <c r="F36" s="37" t="s">
        <v>63</v>
      </c>
      <c r="G36" s="37" t="s">
        <v>56</v>
      </c>
    </row>
    <row r="37" spans="1:7" ht="15.75" customHeight="1" x14ac:dyDescent="0.2">
      <c r="A37" s="32">
        <v>34</v>
      </c>
      <c r="B37" s="35" t="s">
        <v>115</v>
      </c>
      <c r="C37" s="34" t="s">
        <v>130</v>
      </c>
      <c r="D37" s="35" t="s">
        <v>109</v>
      </c>
      <c r="E37" s="35" t="s">
        <v>110</v>
      </c>
      <c r="F37" s="35" t="s">
        <v>68</v>
      </c>
      <c r="G37" s="35" t="s">
        <v>56</v>
      </c>
    </row>
    <row r="38" spans="1:7" ht="15.75" customHeight="1" x14ac:dyDescent="0.2">
      <c r="A38" s="36">
        <v>35</v>
      </c>
      <c r="B38" s="37" t="s">
        <v>116</v>
      </c>
      <c r="C38" s="34" t="s">
        <v>130</v>
      </c>
      <c r="D38" s="37" t="s">
        <v>109</v>
      </c>
      <c r="E38" s="37" t="s">
        <v>110</v>
      </c>
      <c r="F38" s="37" t="s">
        <v>68</v>
      </c>
      <c r="G38" s="37" t="s">
        <v>56</v>
      </c>
    </row>
    <row r="39" spans="1:7" ht="15.75" customHeight="1" x14ac:dyDescent="0.2">
      <c r="A39" s="32">
        <v>36</v>
      </c>
      <c r="B39" s="35" t="s">
        <v>117</v>
      </c>
      <c r="C39" s="34" t="s">
        <v>130</v>
      </c>
      <c r="D39" s="35" t="s">
        <v>109</v>
      </c>
      <c r="E39" s="35" t="s">
        <v>110</v>
      </c>
      <c r="F39" s="35" t="s">
        <v>68</v>
      </c>
      <c r="G39" s="35" t="s">
        <v>59</v>
      </c>
    </row>
    <row r="40" spans="1:7" ht="15.75" customHeight="1" x14ac:dyDescent="0.2">
      <c r="A40" s="32">
        <v>37</v>
      </c>
      <c r="B40" s="37" t="s">
        <v>118</v>
      </c>
      <c r="C40" s="34" t="s">
        <v>130</v>
      </c>
      <c r="D40" s="37" t="s">
        <v>109</v>
      </c>
      <c r="E40" s="37" t="s">
        <v>110</v>
      </c>
      <c r="F40" s="37" t="s">
        <v>59</v>
      </c>
      <c r="G40" s="37" t="s">
        <v>56</v>
      </c>
    </row>
    <row r="41" spans="1:7" ht="15.75" customHeight="1" x14ac:dyDescent="0.2">
      <c r="A41" s="36">
        <v>38</v>
      </c>
      <c r="B41" s="35" t="s">
        <v>119</v>
      </c>
      <c r="C41" s="34" t="s">
        <v>130</v>
      </c>
      <c r="D41" s="35" t="s">
        <v>109</v>
      </c>
      <c r="E41" s="35" t="s">
        <v>110</v>
      </c>
      <c r="F41" s="35" t="s">
        <v>68</v>
      </c>
      <c r="G41" s="35" t="s">
        <v>56</v>
      </c>
    </row>
    <row r="42" spans="1:7" ht="15.75" customHeight="1" x14ac:dyDescent="0.2">
      <c r="A42" s="32">
        <v>39</v>
      </c>
      <c r="B42" s="37" t="s">
        <v>120</v>
      </c>
      <c r="C42" s="34" t="s">
        <v>130</v>
      </c>
      <c r="D42" s="37" t="s">
        <v>109</v>
      </c>
      <c r="E42" s="37" t="s">
        <v>110</v>
      </c>
      <c r="F42" s="37" t="s">
        <v>68</v>
      </c>
      <c r="G42" s="37" t="s">
        <v>56</v>
      </c>
    </row>
    <row r="43" spans="1:7" ht="15.75" customHeight="1" x14ac:dyDescent="0.2">
      <c r="A43" s="32">
        <v>40</v>
      </c>
      <c r="B43" s="35" t="s">
        <v>121</v>
      </c>
      <c r="C43" s="34" t="s">
        <v>130</v>
      </c>
      <c r="D43" s="35" t="s">
        <v>109</v>
      </c>
      <c r="E43" s="35" t="s">
        <v>110</v>
      </c>
      <c r="F43" s="35" t="s">
        <v>68</v>
      </c>
      <c r="G43" s="35" t="s">
        <v>56</v>
      </c>
    </row>
    <row r="44" spans="1:7" ht="15.75" customHeight="1" x14ac:dyDescent="0.2">
      <c r="A44" s="36">
        <v>41</v>
      </c>
      <c r="B44" s="39" t="s">
        <v>122</v>
      </c>
      <c r="C44" s="34" t="s">
        <v>130</v>
      </c>
      <c r="D44" s="37" t="s">
        <v>109</v>
      </c>
      <c r="E44" s="37" t="s">
        <v>110</v>
      </c>
      <c r="F44" s="37" t="s">
        <v>99</v>
      </c>
      <c r="G44" s="37" t="s">
        <v>56</v>
      </c>
    </row>
    <row r="45" spans="1:7" ht="15.75" customHeight="1" x14ac:dyDescent="0.2">
      <c r="A45" s="32">
        <v>42</v>
      </c>
      <c r="B45" s="40" t="s">
        <v>123</v>
      </c>
      <c r="C45" s="34" t="s">
        <v>130</v>
      </c>
      <c r="D45" s="35" t="s">
        <v>109</v>
      </c>
      <c r="E45" s="35" t="s">
        <v>110</v>
      </c>
      <c r="F45" s="35" t="s">
        <v>68</v>
      </c>
      <c r="G45" s="35" t="s">
        <v>56</v>
      </c>
    </row>
    <row r="46" spans="1:7" ht="15.75" customHeight="1" x14ac:dyDescent="0.2">
      <c r="A46" s="32">
        <v>43</v>
      </c>
      <c r="B46" s="39" t="s">
        <v>124</v>
      </c>
      <c r="C46" s="34" t="s">
        <v>130</v>
      </c>
      <c r="D46" s="37" t="s">
        <v>109</v>
      </c>
      <c r="E46" s="37" t="s">
        <v>110</v>
      </c>
      <c r="F46" s="37" t="s">
        <v>68</v>
      </c>
      <c r="G46" s="37" t="s">
        <v>56</v>
      </c>
    </row>
    <row r="47" spans="1:7" ht="15.75" customHeight="1" x14ac:dyDescent="0.2">
      <c r="A47" s="36">
        <v>44</v>
      </c>
      <c r="B47" s="40" t="s">
        <v>125</v>
      </c>
      <c r="C47" s="34" t="s">
        <v>130</v>
      </c>
      <c r="D47" s="35" t="s">
        <v>109</v>
      </c>
      <c r="E47" s="35" t="s">
        <v>110</v>
      </c>
      <c r="F47" s="35" t="s">
        <v>68</v>
      </c>
      <c r="G47" s="35" t="s">
        <v>56</v>
      </c>
    </row>
    <row r="48" spans="1:7" ht="15.75" customHeight="1" x14ac:dyDescent="0.2">
      <c r="A48" s="32">
        <v>45</v>
      </c>
      <c r="B48" s="39" t="s">
        <v>126</v>
      </c>
      <c r="C48" s="34" t="s">
        <v>130</v>
      </c>
      <c r="D48" s="37" t="s">
        <v>109</v>
      </c>
      <c r="E48" s="37" t="s">
        <v>110</v>
      </c>
      <c r="F48" s="37" t="s">
        <v>59</v>
      </c>
      <c r="G48" s="37" t="s">
        <v>56</v>
      </c>
    </row>
    <row r="49" spans="1:7" ht="15.75" customHeight="1" x14ac:dyDescent="0.2">
      <c r="A49" s="32">
        <v>46</v>
      </c>
      <c r="B49" s="40" t="s">
        <v>127</v>
      </c>
      <c r="C49" s="34" t="s">
        <v>130</v>
      </c>
      <c r="D49" s="35" t="s">
        <v>109</v>
      </c>
      <c r="E49" s="35" t="s">
        <v>110</v>
      </c>
      <c r="F49" s="35" t="s">
        <v>59</v>
      </c>
      <c r="G49" s="35" t="s">
        <v>56</v>
      </c>
    </row>
    <row r="50" spans="1:7" ht="15.75" customHeight="1" x14ac:dyDescent="0.2">
      <c r="A50" s="36">
        <v>47</v>
      </c>
      <c r="B50" s="39" t="s">
        <v>128</v>
      </c>
      <c r="C50" s="34" t="s">
        <v>130</v>
      </c>
      <c r="D50" s="37" t="s">
        <v>109</v>
      </c>
      <c r="E50" s="37" t="s">
        <v>110</v>
      </c>
      <c r="F50" s="37" t="s">
        <v>68</v>
      </c>
      <c r="G50" s="37" t="s">
        <v>56</v>
      </c>
    </row>
    <row r="51" spans="1:7" ht="15.75" customHeight="1" x14ac:dyDescent="0.2">
      <c r="B51" s="27"/>
    </row>
    <row r="52" spans="1:7" ht="15.75" customHeight="1" x14ac:dyDescent="0.2">
      <c r="B52" s="27"/>
    </row>
    <row r="53" spans="1:7" ht="15.75" customHeight="1" x14ac:dyDescent="0.2">
      <c r="B53" s="27"/>
    </row>
    <row r="54" spans="1:7" ht="15.75" customHeight="1" x14ac:dyDescent="0.2">
      <c r="B54" s="27"/>
    </row>
    <row r="55" spans="1:7" ht="15.75" customHeight="1" x14ac:dyDescent="0.2">
      <c r="B55" s="27"/>
    </row>
    <row r="56" spans="1:7" ht="15.75" customHeight="1" x14ac:dyDescent="0.2">
      <c r="B56" s="27"/>
    </row>
    <row r="57" spans="1:7" ht="15.75" customHeight="1" x14ac:dyDescent="0.2">
      <c r="B57" s="27"/>
    </row>
    <row r="58" spans="1:7" ht="15.75" customHeight="1" x14ac:dyDescent="0.2">
      <c r="B58" s="27"/>
    </row>
    <row r="59" spans="1:7" ht="15.75" customHeight="1" x14ac:dyDescent="0.2">
      <c r="B59" s="27"/>
    </row>
    <row r="60" spans="1:7" ht="15.75" customHeight="1" x14ac:dyDescent="0.2">
      <c r="B60" s="27"/>
    </row>
    <row r="61" spans="1:7" ht="15.75" customHeight="1" x14ac:dyDescent="0.2">
      <c r="B61" s="27"/>
    </row>
    <row r="62" spans="1:7" ht="15.75" customHeight="1" x14ac:dyDescent="0.2">
      <c r="B62" s="27"/>
    </row>
    <row r="63" spans="1:7" ht="15.75" customHeight="1" x14ac:dyDescent="0.2">
      <c r="B63" s="27"/>
    </row>
    <row r="64" spans="1:7" ht="15.75" customHeight="1" x14ac:dyDescent="0.2">
      <c r="B64" s="27"/>
    </row>
    <row r="65" spans="2:2" ht="15.75" customHeight="1" x14ac:dyDescent="0.2">
      <c r="B65" s="27"/>
    </row>
    <row r="66" spans="2:2" ht="15.75" customHeight="1" x14ac:dyDescent="0.2">
      <c r="B66" s="27"/>
    </row>
    <row r="67" spans="2:2" ht="15.75" customHeight="1" x14ac:dyDescent="0.2">
      <c r="B67" s="27"/>
    </row>
    <row r="68" spans="2:2" ht="15.75" customHeight="1" x14ac:dyDescent="0.2">
      <c r="B68" s="27"/>
    </row>
    <row r="69" spans="2:2" ht="15.75" customHeight="1" x14ac:dyDescent="0.2">
      <c r="B69" s="27"/>
    </row>
    <row r="70" spans="2:2" ht="15.75" customHeight="1" x14ac:dyDescent="0.2">
      <c r="B70" s="27"/>
    </row>
    <row r="71" spans="2:2" ht="15.75" customHeight="1" x14ac:dyDescent="0.2">
      <c r="B71" s="27"/>
    </row>
    <row r="72" spans="2:2" ht="15.75" customHeight="1" x14ac:dyDescent="0.2">
      <c r="B72" s="27"/>
    </row>
    <row r="73" spans="2:2" ht="15.75" customHeight="1" x14ac:dyDescent="0.2">
      <c r="B73" s="27"/>
    </row>
    <row r="74" spans="2:2" ht="15.75" customHeight="1" x14ac:dyDescent="0.2">
      <c r="B74" s="27"/>
    </row>
    <row r="75" spans="2:2" ht="15.75" customHeight="1" x14ac:dyDescent="0.2">
      <c r="B75" s="27"/>
    </row>
    <row r="76" spans="2:2" ht="15.75" customHeight="1" x14ac:dyDescent="0.2">
      <c r="B76" s="27"/>
    </row>
    <row r="77" spans="2:2" ht="15.75" customHeight="1" x14ac:dyDescent="0.2">
      <c r="B77" s="27"/>
    </row>
    <row r="78" spans="2:2" ht="15.75" customHeight="1" x14ac:dyDescent="0.2">
      <c r="B78" s="27"/>
    </row>
    <row r="79" spans="2:2" ht="15.75" customHeight="1" x14ac:dyDescent="0.2">
      <c r="B79" s="27"/>
    </row>
    <row r="80" spans="2:2" ht="15.75" customHeight="1" x14ac:dyDescent="0.2">
      <c r="B80" s="27"/>
    </row>
    <row r="81" spans="2:2" ht="15.75" customHeight="1" x14ac:dyDescent="0.2">
      <c r="B81" s="27"/>
    </row>
    <row r="82" spans="2:2" ht="15.75" customHeight="1" x14ac:dyDescent="0.2">
      <c r="B82" s="27"/>
    </row>
    <row r="83" spans="2:2" ht="15.75" customHeight="1" x14ac:dyDescent="0.2">
      <c r="B83" s="27"/>
    </row>
    <row r="84" spans="2:2" ht="15.75" customHeight="1" x14ac:dyDescent="0.2">
      <c r="B84" s="27"/>
    </row>
    <row r="85" spans="2:2" ht="15.75" customHeight="1" x14ac:dyDescent="0.2">
      <c r="B85" s="27"/>
    </row>
    <row r="86" spans="2:2" ht="15.75" customHeight="1" x14ac:dyDescent="0.2">
      <c r="B86" s="27"/>
    </row>
    <row r="87" spans="2:2" ht="15.75" customHeight="1" x14ac:dyDescent="0.2">
      <c r="B87" s="27"/>
    </row>
    <row r="88" spans="2:2" ht="15.75" customHeight="1" x14ac:dyDescent="0.2">
      <c r="B88" s="27"/>
    </row>
    <row r="89" spans="2:2" ht="15.75" customHeight="1" x14ac:dyDescent="0.2">
      <c r="B89" s="27"/>
    </row>
    <row r="90" spans="2:2" ht="15.75" customHeight="1" x14ac:dyDescent="0.2">
      <c r="B90" s="27"/>
    </row>
    <row r="91" spans="2:2" ht="15.75" customHeight="1" x14ac:dyDescent="0.2">
      <c r="B91" s="27"/>
    </row>
    <row r="92" spans="2:2" ht="15.75" customHeight="1" x14ac:dyDescent="0.2">
      <c r="B92" s="27"/>
    </row>
    <row r="93" spans="2:2" ht="15.75" customHeight="1" x14ac:dyDescent="0.2">
      <c r="B93" s="27"/>
    </row>
    <row r="94" spans="2:2" ht="15.75" customHeight="1" x14ac:dyDescent="0.2">
      <c r="B94" s="27"/>
    </row>
    <row r="95" spans="2:2" ht="15.75" customHeight="1" x14ac:dyDescent="0.2">
      <c r="B95" s="27"/>
    </row>
    <row r="96" spans="2:2" ht="15.75" customHeight="1" x14ac:dyDescent="0.2">
      <c r="B96" s="27"/>
    </row>
    <row r="97" spans="2:2" ht="15.75" customHeight="1" x14ac:dyDescent="0.2">
      <c r="B97" s="27"/>
    </row>
    <row r="98" spans="2:2" ht="15.75" customHeight="1" x14ac:dyDescent="0.2">
      <c r="B98" s="27"/>
    </row>
    <row r="99" spans="2:2" ht="15.75" customHeight="1" x14ac:dyDescent="0.2">
      <c r="B99" s="27"/>
    </row>
    <row r="100" spans="2:2" ht="15.75" customHeight="1" x14ac:dyDescent="0.2">
      <c r="B100" s="27"/>
    </row>
    <row r="101" spans="2:2" ht="15.75" customHeight="1" x14ac:dyDescent="0.2">
      <c r="B101" s="27"/>
    </row>
    <row r="102" spans="2:2" ht="15.75" customHeight="1" x14ac:dyDescent="0.2">
      <c r="B102" s="27"/>
    </row>
    <row r="103" spans="2:2" ht="15.75" customHeight="1" x14ac:dyDescent="0.2">
      <c r="B103" s="27"/>
    </row>
    <row r="104" spans="2:2" ht="15.75" customHeight="1" x14ac:dyDescent="0.2">
      <c r="B104" s="27"/>
    </row>
    <row r="105" spans="2:2" ht="15.75" customHeight="1" x14ac:dyDescent="0.2">
      <c r="B105" s="27"/>
    </row>
    <row r="106" spans="2:2" ht="15.75" customHeight="1" x14ac:dyDescent="0.2">
      <c r="B106" s="27"/>
    </row>
    <row r="107" spans="2:2" ht="15.75" customHeight="1" x14ac:dyDescent="0.2">
      <c r="B107" s="27"/>
    </row>
    <row r="108" spans="2:2" ht="15.75" customHeight="1" x14ac:dyDescent="0.2">
      <c r="B108" s="27"/>
    </row>
    <row r="109" spans="2:2" ht="15.75" customHeight="1" x14ac:dyDescent="0.2">
      <c r="B109" s="27"/>
    </row>
    <row r="110" spans="2:2" ht="15.75" customHeight="1" x14ac:dyDescent="0.2">
      <c r="B110" s="27"/>
    </row>
    <row r="111" spans="2:2" ht="15.75" customHeight="1" x14ac:dyDescent="0.2">
      <c r="B111" s="27"/>
    </row>
    <row r="112" spans="2:2" ht="15.75" customHeight="1" x14ac:dyDescent="0.2">
      <c r="B112" s="27"/>
    </row>
    <row r="113" spans="2:2" ht="15.75" customHeight="1" x14ac:dyDescent="0.2">
      <c r="B113" s="27"/>
    </row>
    <row r="114" spans="2:2" ht="15.75" customHeight="1" x14ac:dyDescent="0.2">
      <c r="B114" s="27"/>
    </row>
    <row r="115" spans="2:2" ht="15.75" customHeight="1" x14ac:dyDescent="0.2">
      <c r="B115" s="27"/>
    </row>
    <row r="116" spans="2:2" ht="15.75" customHeight="1" x14ac:dyDescent="0.2">
      <c r="B116" s="27"/>
    </row>
    <row r="117" spans="2:2" ht="15.75" customHeight="1" x14ac:dyDescent="0.2">
      <c r="B117" s="27"/>
    </row>
    <row r="118" spans="2:2" ht="15.75" customHeight="1" x14ac:dyDescent="0.2">
      <c r="B118" s="27"/>
    </row>
    <row r="119" spans="2:2" ht="15.75" customHeight="1" x14ac:dyDescent="0.2">
      <c r="B119" s="27"/>
    </row>
    <row r="120" spans="2:2" ht="15.75" customHeight="1" x14ac:dyDescent="0.2">
      <c r="B120" s="27"/>
    </row>
    <row r="121" spans="2:2" ht="15.75" customHeight="1" x14ac:dyDescent="0.2">
      <c r="B121" s="27"/>
    </row>
    <row r="122" spans="2:2" ht="15.75" customHeight="1" x14ac:dyDescent="0.2">
      <c r="B122" s="27"/>
    </row>
    <row r="123" spans="2:2" ht="15.75" customHeight="1" x14ac:dyDescent="0.2">
      <c r="B123" s="27"/>
    </row>
    <row r="124" spans="2:2" ht="15.75" customHeight="1" x14ac:dyDescent="0.2">
      <c r="B124" s="27"/>
    </row>
    <row r="125" spans="2:2" ht="15.75" customHeight="1" x14ac:dyDescent="0.2">
      <c r="B125" s="27"/>
    </row>
    <row r="126" spans="2:2" ht="15.75" customHeight="1" x14ac:dyDescent="0.2">
      <c r="B126" s="27"/>
    </row>
    <row r="127" spans="2:2" ht="15.75" customHeight="1" x14ac:dyDescent="0.2">
      <c r="B127" s="27"/>
    </row>
    <row r="128" spans="2:2" ht="15.75" customHeight="1" x14ac:dyDescent="0.2">
      <c r="B128" s="27"/>
    </row>
    <row r="129" spans="2:2" ht="15.75" customHeight="1" x14ac:dyDescent="0.2">
      <c r="B129" s="27"/>
    </row>
    <row r="130" spans="2:2" ht="15.75" customHeight="1" x14ac:dyDescent="0.2">
      <c r="B130" s="27"/>
    </row>
    <row r="131" spans="2:2" ht="15.75" customHeight="1" x14ac:dyDescent="0.2">
      <c r="B131" s="27"/>
    </row>
    <row r="132" spans="2:2" ht="15.75" customHeight="1" x14ac:dyDescent="0.2">
      <c r="B132" s="27"/>
    </row>
    <row r="133" spans="2:2" ht="15.75" customHeight="1" x14ac:dyDescent="0.2">
      <c r="B133" s="27"/>
    </row>
    <row r="134" spans="2:2" ht="15.75" customHeight="1" x14ac:dyDescent="0.2">
      <c r="B134" s="27"/>
    </row>
    <row r="135" spans="2:2" ht="15.75" customHeight="1" x14ac:dyDescent="0.2">
      <c r="B135" s="27"/>
    </row>
    <row r="136" spans="2:2" ht="15.75" customHeight="1" x14ac:dyDescent="0.2">
      <c r="B136" s="27"/>
    </row>
    <row r="137" spans="2:2" ht="15.75" customHeight="1" x14ac:dyDescent="0.2">
      <c r="B137" s="27"/>
    </row>
    <row r="138" spans="2:2" ht="15.75" customHeight="1" x14ac:dyDescent="0.2">
      <c r="B138" s="27"/>
    </row>
    <row r="139" spans="2:2" ht="15.75" customHeight="1" x14ac:dyDescent="0.2">
      <c r="B139" s="27"/>
    </row>
    <row r="140" spans="2:2" ht="15.75" customHeight="1" x14ac:dyDescent="0.2">
      <c r="B140" s="27"/>
    </row>
    <row r="141" spans="2:2" ht="15.75" customHeight="1" x14ac:dyDescent="0.2">
      <c r="B141" s="27"/>
    </row>
    <row r="142" spans="2:2" ht="15.75" customHeight="1" x14ac:dyDescent="0.2">
      <c r="B142" s="27"/>
    </row>
    <row r="143" spans="2:2" ht="15.75" customHeight="1" x14ac:dyDescent="0.2">
      <c r="B143" s="27"/>
    </row>
    <row r="144" spans="2:2" ht="15.75" customHeight="1" x14ac:dyDescent="0.2">
      <c r="B144" s="27"/>
    </row>
    <row r="145" spans="2:2" ht="15.75" customHeight="1" x14ac:dyDescent="0.2">
      <c r="B145" s="27"/>
    </row>
    <row r="146" spans="2:2" ht="15.75" customHeight="1" x14ac:dyDescent="0.2">
      <c r="B146" s="27"/>
    </row>
    <row r="147" spans="2:2" ht="15.75" customHeight="1" x14ac:dyDescent="0.2">
      <c r="B147" s="27"/>
    </row>
    <row r="148" spans="2:2" ht="15.75" customHeight="1" x14ac:dyDescent="0.2">
      <c r="B148" s="27"/>
    </row>
    <row r="149" spans="2:2" ht="15.75" customHeight="1" x14ac:dyDescent="0.2">
      <c r="B149" s="27"/>
    </row>
    <row r="150" spans="2:2" ht="15.75" customHeight="1" x14ac:dyDescent="0.2">
      <c r="B150" s="27"/>
    </row>
    <row r="151" spans="2:2" ht="15.75" customHeight="1" x14ac:dyDescent="0.2">
      <c r="B151" s="27"/>
    </row>
    <row r="152" spans="2:2" ht="15.75" customHeight="1" x14ac:dyDescent="0.2">
      <c r="B152" s="27"/>
    </row>
    <row r="153" spans="2:2" ht="15.75" customHeight="1" x14ac:dyDescent="0.2">
      <c r="B153" s="27"/>
    </row>
    <row r="154" spans="2:2" ht="15.75" customHeight="1" x14ac:dyDescent="0.2">
      <c r="B154" s="27"/>
    </row>
    <row r="155" spans="2:2" ht="15.75" customHeight="1" x14ac:dyDescent="0.2">
      <c r="B155" s="27"/>
    </row>
    <row r="156" spans="2:2" ht="15.75" customHeight="1" x14ac:dyDescent="0.2">
      <c r="B156" s="27"/>
    </row>
    <row r="157" spans="2:2" ht="15.75" customHeight="1" x14ac:dyDescent="0.2">
      <c r="B157" s="27"/>
    </row>
    <row r="158" spans="2:2" ht="15.75" customHeight="1" x14ac:dyDescent="0.2">
      <c r="B158" s="27"/>
    </row>
    <row r="159" spans="2:2" ht="15.75" customHeight="1" x14ac:dyDescent="0.2">
      <c r="B159" s="27"/>
    </row>
    <row r="160" spans="2:2" ht="15.75" customHeight="1" x14ac:dyDescent="0.2">
      <c r="B160" s="27"/>
    </row>
    <row r="161" spans="2:2" ht="15.75" customHeight="1" x14ac:dyDescent="0.2">
      <c r="B161" s="27"/>
    </row>
    <row r="162" spans="2:2" ht="15.75" customHeight="1" x14ac:dyDescent="0.2">
      <c r="B162" s="27"/>
    </row>
    <row r="163" spans="2:2" ht="15.75" customHeight="1" x14ac:dyDescent="0.2">
      <c r="B163" s="27"/>
    </row>
    <row r="164" spans="2:2" ht="15.75" customHeight="1" x14ac:dyDescent="0.2">
      <c r="B164" s="27"/>
    </row>
    <row r="165" spans="2:2" ht="15.75" customHeight="1" x14ac:dyDescent="0.2">
      <c r="B165" s="27"/>
    </row>
    <row r="166" spans="2:2" ht="15.75" customHeight="1" x14ac:dyDescent="0.2">
      <c r="B166" s="27"/>
    </row>
    <row r="167" spans="2:2" ht="15.75" customHeight="1" x14ac:dyDescent="0.2">
      <c r="B167" s="27"/>
    </row>
    <row r="168" spans="2:2" ht="15.75" customHeight="1" x14ac:dyDescent="0.2">
      <c r="B168" s="27"/>
    </row>
    <row r="169" spans="2:2" ht="15.75" customHeight="1" x14ac:dyDescent="0.2">
      <c r="B169" s="27"/>
    </row>
    <row r="170" spans="2:2" ht="15.75" customHeight="1" x14ac:dyDescent="0.2">
      <c r="B170" s="27"/>
    </row>
    <row r="171" spans="2:2" ht="15.75" customHeight="1" x14ac:dyDescent="0.2">
      <c r="B171" s="27"/>
    </row>
    <row r="172" spans="2:2" ht="15.75" customHeight="1" x14ac:dyDescent="0.2">
      <c r="B172" s="27"/>
    </row>
    <row r="173" spans="2:2" ht="15.75" customHeight="1" x14ac:dyDescent="0.2">
      <c r="B173" s="27"/>
    </row>
    <row r="174" spans="2:2" ht="15.75" customHeight="1" x14ac:dyDescent="0.2">
      <c r="B174" s="27"/>
    </row>
    <row r="175" spans="2:2" ht="15.75" customHeight="1" x14ac:dyDescent="0.2">
      <c r="B175" s="27"/>
    </row>
    <row r="176" spans="2:2" ht="15.75" customHeight="1" x14ac:dyDescent="0.2">
      <c r="B176" s="27"/>
    </row>
    <row r="177" spans="2:2" ht="15.75" customHeight="1" x14ac:dyDescent="0.2">
      <c r="B177" s="27"/>
    </row>
    <row r="178" spans="2:2" ht="15.75" customHeight="1" x14ac:dyDescent="0.2">
      <c r="B178" s="27"/>
    </row>
    <row r="179" spans="2:2" ht="15.75" customHeight="1" x14ac:dyDescent="0.2">
      <c r="B179" s="27"/>
    </row>
    <row r="180" spans="2:2" ht="15.75" customHeight="1" x14ac:dyDescent="0.2">
      <c r="B180" s="27"/>
    </row>
    <row r="181" spans="2:2" ht="15.75" customHeight="1" x14ac:dyDescent="0.2">
      <c r="B181" s="27"/>
    </row>
    <row r="182" spans="2:2" ht="15.75" customHeight="1" x14ac:dyDescent="0.2">
      <c r="B182" s="27"/>
    </row>
    <row r="183" spans="2:2" ht="15.75" customHeight="1" x14ac:dyDescent="0.2">
      <c r="B183" s="27"/>
    </row>
    <row r="184" spans="2:2" ht="15.75" customHeight="1" x14ac:dyDescent="0.2">
      <c r="B184" s="27"/>
    </row>
    <row r="185" spans="2:2" ht="15.75" customHeight="1" x14ac:dyDescent="0.2">
      <c r="B185" s="27"/>
    </row>
    <row r="186" spans="2:2" ht="15.75" customHeight="1" x14ac:dyDescent="0.2">
      <c r="B186" s="27"/>
    </row>
    <row r="187" spans="2:2" ht="15.75" customHeight="1" x14ac:dyDescent="0.2">
      <c r="B187" s="27"/>
    </row>
    <row r="188" spans="2:2" ht="15.75" customHeight="1" x14ac:dyDescent="0.2">
      <c r="B188" s="27"/>
    </row>
    <row r="189" spans="2:2" ht="15.75" customHeight="1" x14ac:dyDescent="0.2">
      <c r="B189" s="27"/>
    </row>
    <row r="190" spans="2:2" ht="15.75" customHeight="1" x14ac:dyDescent="0.2">
      <c r="B190" s="27"/>
    </row>
    <row r="191" spans="2:2" ht="15.75" customHeight="1" x14ac:dyDescent="0.2">
      <c r="B191" s="27"/>
    </row>
    <row r="192" spans="2:2" ht="15.75" customHeight="1" x14ac:dyDescent="0.2">
      <c r="B192" s="27"/>
    </row>
    <row r="193" spans="2:2" ht="15.75" customHeight="1" x14ac:dyDescent="0.2">
      <c r="B193" s="27"/>
    </row>
    <row r="194" spans="2:2" ht="15.75" customHeight="1" x14ac:dyDescent="0.2">
      <c r="B194" s="27"/>
    </row>
    <row r="195" spans="2:2" ht="15.75" customHeight="1" x14ac:dyDescent="0.2">
      <c r="B195" s="27"/>
    </row>
    <row r="196" spans="2:2" ht="15.75" customHeight="1" x14ac:dyDescent="0.2">
      <c r="B196" s="27"/>
    </row>
    <row r="197" spans="2:2" ht="15.75" customHeight="1" x14ac:dyDescent="0.2">
      <c r="B197" s="27"/>
    </row>
    <row r="198" spans="2:2" ht="15.75" customHeight="1" x14ac:dyDescent="0.2">
      <c r="B198" s="27"/>
    </row>
    <row r="199" spans="2:2" ht="15.75" customHeight="1" x14ac:dyDescent="0.2">
      <c r="B199" s="27"/>
    </row>
    <row r="200" spans="2:2" ht="15.75" customHeight="1" x14ac:dyDescent="0.2">
      <c r="B200" s="27"/>
    </row>
    <row r="201" spans="2:2" ht="15.75" customHeight="1" x14ac:dyDescent="0.2">
      <c r="B201" s="27"/>
    </row>
    <row r="202" spans="2:2" ht="15.75" customHeight="1" x14ac:dyDescent="0.2">
      <c r="B202" s="27"/>
    </row>
    <row r="203" spans="2:2" ht="15.75" customHeight="1" x14ac:dyDescent="0.2">
      <c r="B203" s="27"/>
    </row>
    <row r="204" spans="2:2" ht="15.75" customHeight="1" x14ac:dyDescent="0.2">
      <c r="B204" s="27"/>
    </row>
    <row r="205" spans="2:2" ht="15.75" customHeight="1" x14ac:dyDescent="0.2">
      <c r="B205" s="27"/>
    </row>
    <row r="206" spans="2:2" ht="15.75" customHeight="1" x14ac:dyDescent="0.2">
      <c r="B206" s="27"/>
    </row>
    <row r="207" spans="2:2" ht="15.75" customHeight="1" x14ac:dyDescent="0.2">
      <c r="B207" s="27"/>
    </row>
    <row r="208" spans="2:2" ht="15.75" customHeight="1" x14ac:dyDescent="0.2">
      <c r="B208" s="27"/>
    </row>
    <row r="209" spans="2:2" ht="15.75" customHeight="1" x14ac:dyDescent="0.2">
      <c r="B209" s="27"/>
    </row>
    <row r="210" spans="2:2" ht="15.75" customHeight="1" x14ac:dyDescent="0.2">
      <c r="B210" s="27"/>
    </row>
    <row r="211" spans="2:2" ht="15.75" customHeight="1" x14ac:dyDescent="0.2">
      <c r="B211" s="27"/>
    </row>
    <row r="212" spans="2:2" ht="15.75" customHeight="1" x14ac:dyDescent="0.2">
      <c r="B212" s="27"/>
    </row>
    <row r="213" spans="2:2" ht="15.75" customHeight="1" x14ac:dyDescent="0.2">
      <c r="B213" s="27"/>
    </row>
    <row r="214" spans="2:2" ht="15.75" customHeight="1" x14ac:dyDescent="0.2">
      <c r="B214" s="27"/>
    </row>
    <row r="215" spans="2:2" ht="15.75" customHeight="1" x14ac:dyDescent="0.2">
      <c r="B215" s="27"/>
    </row>
    <row r="216" spans="2:2" ht="15.75" customHeight="1" x14ac:dyDescent="0.2">
      <c r="B216" s="27"/>
    </row>
    <row r="217" spans="2:2" ht="15.75" customHeight="1" x14ac:dyDescent="0.2">
      <c r="B217" s="27"/>
    </row>
    <row r="218" spans="2:2" ht="15.75" customHeight="1" x14ac:dyDescent="0.2">
      <c r="B218" s="27"/>
    </row>
    <row r="219" spans="2:2" ht="15.75" customHeight="1" x14ac:dyDescent="0.2">
      <c r="B219" s="27"/>
    </row>
    <row r="220" spans="2:2" ht="15.75" customHeight="1" x14ac:dyDescent="0.2">
      <c r="B220" s="27"/>
    </row>
    <row r="221" spans="2:2" ht="15.75" customHeight="1" x14ac:dyDescent="0.2">
      <c r="B221" s="27"/>
    </row>
    <row r="222" spans="2:2" ht="15.75" customHeight="1" x14ac:dyDescent="0.2">
      <c r="B222" s="27"/>
    </row>
    <row r="223" spans="2:2" ht="15.75" customHeight="1" x14ac:dyDescent="0.2">
      <c r="B223" s="27"/>
    </row>
    <row r="224" spans="2:2" ht="15.75" customHeight="1" x14ac:dyDescent="0.2">
      <c r="B224" s="27"/>
    </row>
    <row r="225" spans="2:2" ht="15.75" customHeight="1" x14ac:dyDescent="0.2">
      <c r="B225" s="27"/>
    </row>
    <row r="226" spans="2:2" ht="15.75" customHeight="1" x14ac:dyDescent="0.2">
      <c r="B226" s="27"/>
    </row>
    <row r="227" spans="2:2" ht="15.75" customHeight="1" x14ac:dyDescent="0.2">
      <c r="B227" s="27"/>
    </row>
    <row r="228" spans="2:2" ht="15.75" customHeight="1" x14ac:dyDescent="0.2">
      <c r="B228" s="27"/>
    </row>
    <row r="229" spans="2:2" ht="15.75" customHeight="1" x14ac:dyDescent="0.2">
      <c r="B229" s="27"/>
    </row>
    <row r="230" spans="2:2" ht="15.75" customHeight="1" x14ac:dyDescent="0.2">
      <c r="B230" s="27"/>
    </row>
    <row r="231" spans="2:2" ht="15.75" customHeight="1" x14ac:dyDescent="0.2">
      <c r="B231" s="27"/>
    </row>
    <row r="232" spans="2:2" ht="15.75" customHeight="1" x14ac:dyDescent="0.2">
      <c r="B232" s="27"/>
    </row>
    <row r="233" spans="2:2" ht="15.75" customHeight="1" x14ac:dyDescent="0.2">
      <c r="B233" s="27"/>
    </row>
    <row r="234" spans="2:2" ht="15.75" customHeight="1" x14ac:dyDescent="0.2">
      <c r="B234" s="27"/>
    </row>
    <row r="235" spans="2:2" ht="15.75" customHeight="1" x14ac:dyDescent="0.2">
      <c r="B235" s="27"/>
    </row>
    <row r="236" spans="2:2" ht="15.75" customHeight="1" x14ac:dyDescent="0.2">
      <c r="B236" s="27"/>
    </row>
    <row r="237" spans="2:2" ht="15.75" customHeight="1" x14ac:dyDescent="0.2">
      <c r="B237" s="27"/>
    </row>
    <row r="238" spans="2:2" ht="15.75" customHeight="1" x14ac:dyDescent="0.2">
      <c r="B238" s="27"/>
    </row>
    <row r="239" spans="2:2" ht="15.75" customHeight="1" x14ac:dyDescent="0.2">
      <c r="B239" s="27"/>
    </row>
    <row r="240" spans="2:2" ht="15.75" customHeight="1" x14ac:dyDescent="0.2">
      <c r="B240" s="27"/>
    </row>
    <row r="241" spans="2:2" ht="15.75" customHeight="1" x14ac:dyDescent="0.2">
      <c r="B241" s="27"/>
    </row>
    <row r="242" spans="2:2" ht="15.75" customHeight="1" x14ac:dyDescent="0.2">
      <c r="B242" s="27"/>
    </row>
    <row r="243" spans="2:2" ht="15.75" customHeight="1" x14ac:dyDescent="0.2">
      <c r="B243" s="27"/>
    </row>
    <row r="244" spans="2:2" ht="15.75" customHeight="1" x14ac:dyDescent="0.2">
      <c r="B244" s="27"/>
    </row>
    <row r="245" spans="2:2" ht="15.75" customHeight="1" x14ac:dyDescent="0.2">
      <c r="B245" s="27"/>
    </row>
    <row r="246" spans="2:2" ht="15.75" customHeight="1" x14ac:dyDescent="0.2">
      <c r="B246" s="27"/>
    </row>
    <row r="247" spans="2:2" ht="15.75" customHeight="1" x14ac:dyDescent="0.2">
      <c r="B247" s="27"/>
    </row>
    <row r="248" spans="2:2" ht="15.75" customHeight="1" x14ac:dyDescent="0.2">
      <c r="B248" s="27"/>
    </row>
    <row r="249" spans="2:2" ht="15.75" customHeight="1" x14ac:dyDescent="0.2">
      <c r="B249" s="27"/>
    </row>
    <row r="250" spans="2:2" ht="15.75" customHeight="1" x14ac:dyDescent="0.2">
      <c r="B250" s="27"/>
    </row>
    <row r="251" spans="2:2" ht="15.75" customHeight="1" x14ac:dyDescent="0.2"/>
    <row r="252" spans="2:2" ht="15.75" customHeight="1" x14ac:dyDescent="0.2"/>
    <row r="253" spans="2:2" ht="15.75" customHeight="1" x14ac:dyDescent="0.2"/>
    <row r="254" spans="2:2" ht="15.75" customHeight="1" x14ac:dyDescent="0.2"/>
    <row r="255" spans="2:2" ht="15.75" customHeight="1" x14ac:dyDescent="0.2"/>
    <row r="256" spans="2:2"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sheetData>
  <dataValidations count="3">
    <dataValidation type="list" allowBlank="1" sqref="D4:D50" xr:uid="{00000000-0002-0000-0300-000000000000}">
      <formula1>"AMERTA XXII,KNB 2024,TIAS 2024,ADS 2024,IUP 2024,Intern,Staff,others"</formula1>
    </dataValidation>
    <dataValidation type="custom" allowBlank="1" showDropDown="1" sqref="A4:A50" xr:uid="{00000000-0002-0000-0300-000001000000}">
      <formula1>AND(ISNUMBER(A4),(NOT(OR(NOT(ISERROR(DATEVALUE(A4))), AND(ISNUMBER(A4), LEFT(CELL("format", A4))="D")))))</formula1>
    </dataValidation>
    <dataValidation type="list" allowBlank="1" showDropDown="1" showErrorMessage="1" sqref="F4:F50" xr:uid="{00000000-0002-0000-0300-000002000000}">
      <formula1>"XS,M,XL,S,L,XXL,3XL,4XL"</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Z1000"/>
  <sheetViews>
    <sheetView topLeftCell="A21" workbookViewId="0">
      <selection activeCell="B28" sqref="B28:C34"/>
    </sheetView>
  </sheetViews>
  <sheetFormatPr defaultColWidth="12.5703125" defaultRowHeight="15" customHeight="1" x14ac:dyDescent="0.2"/>
  <cols>
    <col min="1" max="1" width="5.5703125" customWidth="1"/>
    <col min="2" max="2" width="38.140625" customWidth="1"/>
    <col min="3" max="3" width="25.7109375" customWidth="1"/>
    <col min="4" max="4" width="12.5703125" customWidth="1"/>
    <col min="5" max="5" width="25.28515625" customWidth="1"/>
    <col min="6" max="6" width="37.85546875" customWidth="1"/>
    <col min="7" max="7" width="25.42578125" customWidth="1"/>
    <col min="8" max="8" width="41.85546875" customWidth="1"/>
    <col min="9" max="9" width="24.85546875" customWidth="1"/>
    <col min="11" max="11" width="25.140625" customWidth="1"/>
  </cols>
  <sheetData>
    <row r="1" spans="1:26" ht="15.75" customHeight="1" x14ac:dyDescent="0.2">
      <c r="A1" s="52" t="s">
        <v>0</v>
      </c>
      <c r="B1" s="50"/>
      <c r="C1" s="50"/>
      <c r="D1" s="50"/>
      <c r="E1" s="50"/>
      <c r="F1" s="51"/>
      <c r="G1" s="1"/>
      <c r="H1" s="2"/>
      <c r="I1" s="3"/>
      <c r="J1" s="4"/>
    </row>
    <row r="2" spans="1:26" ht="15.75" customHeight="1" x14ac:dyDescent="0.2">
      <c r="A2" s="53" t="s">
        <v>1</v>
      </c>
      <c r="B2" s="50"/>
      <c r="C2" s="50"/>
      <c r="D2" s="50"/>
      <c r="E2" s="50"/>
      <c r="F2" s="51"/>
      <c r="G2" s="1"/>
      <c r="H2" s="2"/>
      <c r="I2" s="3"/>
      <c r="J2" s="4"/>
    </row>
    <row r="3" spans="1:26" ht="15.75" customHeight="1" x14ac:dyDescent="0.2">
      <c r="A3" s="2"/>
      <c r="B3" s="2"/>
      <c r="C3" s="5"/>
      <c r="D3" s="2"/>
      <c r="E3" s="5"/>
      <c r="F3" s="6"/>
      <c r="G3" s="1"/>
      <c r="H3" s="2"/>
      <c r="I3" s="3"/>
      <c r="J3" s="4"/>
    </row>
    <row r="4" spans="1:26" ht="15.75" customHeight="1" x14ac:dyDescent="0.2">
      <c r="A4" s="7" t="s">
        <v>2</v>
      </c>
      <c r="B4" s="7" t="s">
        <v>3</v>
      </c>
      <c r="C4" s="8" t="s">
        <v>4</v>
      </c>
      <c r="D4" s="7" t="s">
        <v>5</v>
      </c>
      <c r="E4" s="8" t="s">
        <v>6</v>
      </c>
      <c r="F4" s="9" t="s">
        <v>7</v>
      </c>
      <c r="G4" s="10" t="s">
        <v>8</v>
      </c>
      <c r="H4" s="11" t="s">
        <v>9</v>
      </c>
      <c r="I4" s="12" t="s">
        <v>10</v>
      </c>
      <c r="J4" s="13" t="s">
        <v>11</v>
      </c>
      <c r="K4" s="14" t="s">
        <v>7</v>
      </c>
      <c r="L4" s="15" t="s">
        <v>10</v>
      </c>
      <c r="M4" s="15"/>
      <c r="N4" s="15"/>
      <c r="O4" s="15"/>
      <c r="P4" s="15"/>
      <c r="Q4" s="15"/>
      <c r="R4" s="15"/>
      <c r="S4" s="15"/>
      <c r="T4" s="15"/>
      <c r="U4" s="15"/>
      <c r="V4" s="15"/>
      <c r="W4" s="15"/>
      <c r="X4" s="15"/>
      <c r="Y4" s="15"/>
      <c r="Z4" s="15"/>
    </row>
    <row r="5" spans="1:26" ht="15.75" customHeight="1" x14ac:dyDescent="0.2">
      <c r="A5" s="16">
        <v>1</v>
      </c>
      <c r="B5" s="17" t="s">
        <v>12</v>
      </c>
      <c r="C5" s="18"/>
      <c r="D5" s="16"/>
      <c r="E5" s="18"/>
      <c r="F5" s="19"/>
      <c r="G5" s="20"/>
      <c r="H5" s="2"/>
      <c r="I5" s="3"/>
      <c r="J5" s="4"/>
    </row>
    <row r="6" spans="1:26" ht="15.75" customHeight="1" x14ac:dyDescent="0.2">
      <c r="A6" s="16"/>
      <c r="B6" s="16" t="s">
        <v>13</v>
      </c>
      <c r="C6" s="18">
        <v>380000</v>
      </c>
      <c r="D6" s="16">
        <v>33</v>
      </c>
      <c r="E6" s="18">
        <f t="shared" ref="E6:E7" si="0">C6*D6</f>
        <v>12540000</v>
      </c>
      <c r="F6" s="19"/>
      <c r="G6" s="54">
        <v>12860000</v>
      </c>
      <c r="H6" s="56" t="s">
        <v>14</v>
      </c>
      <c r="I6" s="54">
        <v>12860000</v>
      </c>
      <c r="J6" s="47">
        <f>(I6/G6)*100%</f>
        <v>1</v>
      </c>
    </row>
    <row r="7" spans="1:26" ht="15.75" customHeight="1" x14ac:dyDescent="0.2">
      <c r="A7" s="16"/>
      <c r="B7" s="16" t="s">
        <v>15</v>
      </c>
      <c r="C7" s="18">
        <v>175000</v>
      </c>
      <c r="D7" s="16">
        <v>4</v>
      </c>
      <c r="E7" s="18">
        <f t="shared" si="0"/>
        <v>700000</v>
      </c>
      <c r="F7" s="19"/>
      <c r="G7" s="55"/>
      <c r="H7" s="48"/>
      <c r="I7" s="55"/>
      <c r="J7" s="48"/>
    </row>
    <row r="8" spans="1:26" ht="15.75" customHeight="1" x14ac:dyDescent="0.2">
      <c r="A8" s="16">
        <v>2</v>
      </c>
      <c r="B8" s="17" t="s">
        <v>16</v>
      </c>
      <c r="C8" s="18"/>
      <c r="D8" s="16"/>
      <c r="E8" s="18"/>
      <c r="F8" s="19"/>
      <c r="G8" s="20"/>
      <c r="H8" s="2"/>
      <c r="I8" s="3"/>
      <c r="J8" s="4"/>
    </row>
    <row r="9" spans="1:26" ht="15.75" customHeight="1" x14ac:dyDescent="0.2">
      <c r="A9" s="16"/>
      <c r="B9" s="16" t="s">
        <v>17</v>
      </c>
      <c r="C9" s="18">
        <v>135000</v>
      </c>
      <c r="D9" s="16">
        <v>70</v>
      </c>
      <c r="E9" s="18">
        <f t="shared" ref="E9:E10" si="1">C9*D9</f>
        <v>9450000</v>
      </c>
      <c r="F9" s="19" t="s">
        <v>18</v>
      </c>
      <c r="G9" s="20">
        <v>10360000</v>
      </c>
      <c r="H9" s="21" t="s">
        <v>19</v>
      </c>
      <c r="I9" s="20">
        <v>10360000</v>
      </c>
      <c r="J9" s="4">
        <f t="shared" ref="J9:J10" si="2">(I9/G9)*100%</f>
        <v>1</v>
      </c>
      <c r="K9" s="22" t="s">
        <v>20</v>
      </c>
    </row>
    <row r="10" spans="1:26" ht="15.75" customHeight="1" x14ac:dyDescent="0.2">
      <c r="A10" s="16"/>
      <c r="B10" s="16" t="s">
        <v>21</v>
      </c>
      <c r="C10" s="18">
        <v>275000</v>
      </c>
      <c r="D10" s="16">
        <v>70</v>
      </c>
      <c r="E10" s="18">
        <f t="shared" si="1"/>
        <v>19250000</v>
      </c>
      <c r="F10" s="23" t="s">
        <v>22</v>
      </c>
      <c r="G10" s="20">
        <v>18550000</v>
      </c>
      <c r="H10" s="21" t="s">
        <v>23</v>
      </c>
      <c r="I10" s="3">
        <v>18550000</v>
      </c>
      <c r="J10" s="4">
        <f t="shared" si="2"/>
        <v>1</v>
      </c>
    </row>
    <row r="11" spans="1:26" ht="15.75" customHeight="1" x14ac:dyDescent="0.2">
      <c r="A11" s="16">
        <v>3</v>
      </c>
      <c r="B11" s="17" t="s">
        <v>24</v>
      </c>
      <c r="C11" s="18"/>
      <c r="D11" s="16"/>
      <c r="E11" s="18"/>
      <c r="F11" s="19"/>
      <c r="G11" s="20"/>
      <c r="H11" s="2"/>
      <c r="I11" s="3"/>
      <c r="J11" s="4"/>
    </row>
    <row r="12" spans="1:26" ht="15.75" customHeight="1" x14ac:dyDescent="0.2">
      <c r="A12" s="16"/>
      <c r="B12" s="16" t="s">
        <v>25</v>
      </c>
      <c r="C12" s="18">
        <v>15000</v>
      </c>
      <c r="D12" s="16">
        <v>70</v>
      </c>
      <c r="E12" s="18">
        <f t="shared" ref="E12:E16" si="3">C12*D12</f>
        <v>1050000</v>
      </c>
      <c r="F12" s="19"/>
      <c r="G12" s="20">
        <v>1050000</v>
      </c>
      <c r="H12" s="24" t="s">
        <v>26</v>
      </c>
      <c r="I12" s="3">
        <v>1050000</v>
      </c>
      <c r="J12" s="4">
        <f>(I12/G12)*100%</f>
        <v>1</v>
      </c>
    </row>
    <row r="13" spans="1:26" ht="15.75" customHeight="1" x14ac:dyDescent="0.2">
      <c r="A13" s="16"/>
      <c r="B13" s="16" t="s">
        <v>27</v>
      </c>
      <c r="C13" s="18">
        <v>0</v>
      </c>
      <c r="D13" s="16">
        <v>70</v>
      </c>
      <c r="E13" s="18">
        <f t="shared" si="3"/>
        <v>0</v>
      </c>
      <c r="F13" s="19" t="s">
        <v>28</v>
      </c>
      <c r="G13" s="20">
        <v>0</v>
      </c>
      <c r="H13" s="2"/>
      <c r="I13" s="3"/>
      <c r="J13" s="4"/>
    </row>
    <row r="14" spans="1:26" ht="15.75" customHeight="1" x14ac:dyDescent="0.2">
      <c r="A14" s="16"/>
      <c r="B14" s="16" t="s">
        <v>29</v>
      </c>
      <c r="C14" s="18">
        <v>35000</v>
      </c>
      <c r="D14" s="16">
        <v>70</v>
      </c>
      <c r="E14" s="18">
        <f t="shared" si="3"/>
        <v>2450000</v>
      </c>
      <c r="F14" s="19"/>
      <c r="G14" s="20">
        <f>33000*80</f>
        <v>2640000</v>
      </c>
      <c r="H14" s="21" t="s">
        <v>30</v>
      </c>
      <c r="I14" s="3">
        <v>2640000</v>
      </c>
      <c r="J14" s="4">
        <f>(I14/G14)*100%</f>
        <v>1</v>
      </c>
    </row>
    <row r="15" spans="1:26" ht="15.75" customHeight="1" x14ac:dyDescent="0.2">
      <c r="A15" s="16"/>
      <c r="B15" s="16" t="s">
        <v>31</v>
      </c>
      <c r="C15" s="18">
        <v>0</v>
      </c>
      <c r="D15" s="16">
        <v>0</v>
      </c>
      <c r="E15" s="18">
        <f t="shared" si="3"/>
        <v>0</v>
      </c>
      <c r="F15" s="19" t="s">
        <v>32</v>
      </c>
      <c r="G15" s="20">
        <v>0</v>
      </c>
      <c r="H15" s="2"/>
      <c r="I15" s="3"/>
      <c r="J15" s="4"/>
    </row>
    <row r="16" spans="1:26" ht="15.75" customHeight="1" x14ac:dyDescent="0.2">
      <c r="A16" s="16"/>
      <c r="B16" s="16" t="s">
        <v>33</v>
      </c>
      <c r="C16" s="18">
        <v>0</v>
      </c>
      <c r="D16" s="16">
        <v>0</v>
      </c>
      <c r="E16" s="18">
        <f t="shared" si="3"/>
        <v>0</v>
      </c>
      <c r="F16" s="19" t="s">
        <v>34</v>
      </c>
      <c r="G16" s="20">
        <v>0</v>
      </c>
      <c r="H16" s="2"/>
      <c r="I16" s="3"/>
      <c r="J16" s="4"/>
    </row>
    <row r="17" spans="1:10" ht="15.75" customHeight="1" x14ac:dyDescent="0.2">
      <c r="A17" s="16">
        <v>4</v>
      </c>
      <c r="B17" s="17" t="s">
        <v>35</v>
      </c>
      <c r="C17" s="18"/>
      <c r="D17" s="16"/>
      <c r="E17" s="18"/>
      <c r="F17" s="19"/>
      <c r="G17" s="20"/>
      <c r="H17" s="2"/>
      <c r="I17" s="3"/>
      <c r="J17" s="4"/>
    </row>
    <row r="18" spans="1:10" ht="15.75" customHeight="1" x14ac:dyDescent="0.2">
      <c r="A18" s="16"/>
      <c r="B18" s="16" t="s">
        <v>36</v>
      </c>
      <c r="C18" s="18">
        <v>60000</v>
      </c>
      <c r="D18" s="16">
        <v>80</v>
      </c>
      <c r="E18" s="18">
        <f>C18*D18</f>
        <v>4800000</v>
      </c>
      <c r="F18" s="19"/>
      <c r="G18" s="20">
        <v>3640200</v>
      </c>
      <c r="H18" s="24" t="s">
        <v>37</v>
      </c>
      <c r="I18" s="3">
        <v>3640200</v>
      </c>
      <c r="J18" s="4">
        <f>(I18/G18)*100%</f>
        <v>1</v>
      </c>
    </row>
    <row r="19" spans="1:10" ht="15.75" customHeight="1" x14ac:dyDescent="0.2">
      <c r="A19" s="16">
        <v>5</v>
      </c>
      <c r="B19" s="17" t="s">
        <v>38</v>
      </c>
      <c r="C19" s="18"/>
      <c r="D19" s="16"/>
      <c r="E19" s="18"/>
      <c r="F19" s="19"/>
      <c r="G19" s="20"/>
      <c r="H19" s="2"/>
      <c r="I19" s="3"/>
      <c r="J19" s="4"/>
    </row>
    <row r="20" spans="1:10" ht="15.75" customHeight="1" x14ac:dyDescent="0.2">
      <c r="A20" s="16"/>
      <c r="B20" s="16" t="s">
        <v>39</v>
      </c>
      <c r="C20" s="18">
        <v>200000</v>
      </c>
      <c r="D20" s="16">
        <v>3</v>
      </c>
      <c r="E20" s="18">
        <f t="shared" ref="E20:E21" si="4">C20*D20</f>
        <v>600000</v>
      </c>
      <c r="F20" s="19" t="s">
        <v>40</v>
      </c>
      <c r="G20" s="20"/>
      <c r="H20" s="2"/>
      <c r="I20" s="3"/>
      <c r="J20" s="4"/>
    </row>
    <row r="21" spans="1:10" ht="15.75" customHeight="1" x14ac:dyDescent="0.2">
      <c r="A21" s="16"/>
      <c r="B21" s="16" t="s">
        <v>41</v>
      </c>
      <c r="C21" s="18">
        <v>1700000</v>
      </c>
      <c r="D21" s="16">
        <v>1</v>
      </c>
      <c r="E21" s="18">
        <f t="shared" si="4"/>
        <v>1700000</v>
      </c>
      <c r="F21" s="19" t="s">
        <v>42</v>
      </c>
      <c r="G21" s="20">
        <v>1700000</v>
      </c>
      <c r="H21" s="2"/>
      <c r="I21" s="3">
        <v>0</v>
      </c>
      <c r="J21" s="4"/>
    </row>
    <row r="22" spans="1:10" ht="15.75" customHeight="1" x14ac:dyDescent="0.2">
      <c r="A22" s="16">
        <v>6</v>
      </c>
      <c r="B22" s="17" t="s">
        <v>43</v>
      </c>
      <c r="C22" s="18"/>
      <c r="D22" s="16"/>
      <c r="E22" s="18"/>
      <c r="F22" s="19"/>
      <c r="G22" s="20"/>
      <c r="H22" s="2"/>
      <c r="I22" s="3"/>
      <c r="J22" s="4"/>
    </row>
    <row r="23" spans="1:10" ht="15.75" customHeight="1" x14ac:dyDescent="0.2">
      <c r="A23" s="16"/>
      <c r="B23" s="16" t="s">
        <v>43</v>
      </c>
      <c r="C23" s="18">
        <v>2000000</v>
      </c>
      <c r="D23" s="16">
        <v>1</v>
      </c>
      <c r="E23" s="18">
        <f>C23*D23</f>
        <v>2000000</v>
      </c>
      <c r="F23" s="19"/>
      <c r="G23" s="20"/>
      <c r="H23" s="2"/>
      <c r="I23" s="3"/>
      <c r="J23" s="4"/>
    </row>
    <row r="24" spans="1:10" ht="15.75" customHeight="1" x14ac:dyDescent="0.2">
      <c r="A24" s="2"/>
      <c r="B24" s="2"/>
      <c r="C24" s="5"/>
      <c r="D24" s="2"/>
      <c r="E24" s="5"/>
      <c r="F24" s="6"/>
      <c r="G24" s="1"/>
      <c r="H24" s="2"/>
      <c r="I24" s="3"/>
      <c r="J24" s="4"/>
    </row>
    <row r="25" spans="1:10" ht="15.75" customHeight="1" x14ac:dyDescent="0.2">
      <c r="A25" s="2"/>
      <c r="B25" s="2"/>
      <c r="C25" s="5"/>
      <c r="D25" s="2"/>
      <c r="E25" s="5"/>
      <c r="F25" s="6"/>
      <c r="G25" s="1"/>
      <c r="H25" s="2"/>
      <c r="I25" s="3"/>
      <c r="J25" s="4"/>
    </row>
    <row r="26" spans="1:10" ht="15.75" customHeight="1" x14ac:dyDescent="0.2">
      <c r="A26" s="49" t="s">
        <v>44</v>
      </c>
      <c r="B26" s="50"/>
      <c r="C26" s="50"/>
      <c r="D26" s="51"/>
      <c r="E26" s="25">
        <f>SUM(E5:E23)</f>
        <v>54540000</v>
      </c>
      <c r="F26" s="6"/>
      <c r="G26" s="26">
        <f>SUM(G5:G23)</f>
        <v>50800200</v>
      </c>
      <c r="H26" s="2"/>
      <c r="I26" s="3">
        <f>SUM(I5:I23)</f>
        <v>49100200</v>
      </c>
      <c r="J26" s="4">
        <f>(I26/G26)*100%</f>
        <v>0.96653556482061098</v>
      </c>
    </row>
    <row r="27" spans="1:10" ht="15.75" customHeight="1" x14ac:dyDescent="0.2">
      <c r="A27" s="2"/>
      <c r="B27" s="2"/>
      <c r="C27" s="5"/>
      <c r="D27" s="2"/>
      <c r="E27" s="5"/>
      <c r="F27" s="6"/>
      <c r="G27" s="1"/>
      <c r="H27" s="2"/>
      <c r="I27" s="3"/>
      <c r="J27" s="4"/>
    </row>
    <row r="28" spans="1:10" ht="15.75" customHeight="1" x14ac:dyDescent="0.2">
      <c r="A28" s="2"/>
      <c r="B28" s="57" t="s">
        <v>469</v>
      </c>
      <c r="C28" s="5"/>
      <c r="D28" s="2"/>
      <c r="E28" s="5"/>
      <c r="F28" s="6"/>
      <c r="G28" s="1"/>
      <c r="H28" s="2"/>
      <c r="I28" s="3"/>
      <c r="J28" s="4"/>
    </row>
    <row r="29" spans="1:10" ht="15.75" customHeight="1" x14ac:dyDescent="0.2">
      <c r="A29" s="2"/>
      <c r="B29" s="57" t="s">
        <v>46</v>
      </c>
      <c r="C29" s="58" t="s">
        <v>470</v>
      </c>
      <c r="D29" s="2"/>
      <c r="E29" s="5"/>
      <c r="F29" s="6"/>
      <c r="G29" s="1"/>
      <c r="H29" s="2"/>
      <c r="I29" s="3"/>
      <c r="J29" s="4"/>
    </row>
    <row r="30" spans="1:10" ht="15.75" customHeight="1" x14ac:dyDescent="0.2">
      <c r="A30" s="2"/>
      <c r="B30" s="57" t="s">
        <v>471</v>
      </c>
      <c r="C30" s="59" t="s">
        <v>45</v>
      </c>
      <c r="D30" s="2"/>
      <c r="E30" s="5"/>
      <c r="F30" s="6"/>
      <c r="G30" s="1"/>
      <c r="H30" s="2"/>
      <c r="I30" s="3"/>
      <c r="J30" s="4"/>
    </row>
    <row r="31" spans="1:10" ht="15.75" customHeight="1" x14ac:dyDescent="0.2">
      <c r="A31" s="2"/>
      <c r="B31" s="2"/>
      <c r="C31" s="59" t="s">
        <v>21</v>
      </c>
      <c r="D31" s="2"/>
      <c r="E31" s="5"/>
      <c r="F31" s="6"/>
      <c r="G31" s="1"/>
      <c r="H31" s="2"/>
      <c r="I31" s="3"/>
      <c r="J31" s="4"/>
    </row>
    <row r="32" spans="1:10" ht="15.75" customHeight="1" x14ac:dyDescent="0.2">
      <c r="A32" s="2"/>
      <c r="B32" s="57" t="s">
        <v>24</v>
      </c>
      <c r="C32" s="59" t="s">
        <v>472</v>
      </c>
      <c r="D32" s="2"/>
      <c r="E32" s="5"/>
      <c r="F32" s="6"/>
      <c r="G32" s="1"/>
      <c r="H32" s="2"/>
      <c r="I32" s="3"/>
      <c r="J32" s="4"/>
    </row>
    <row r="33" spans="1:10" ht="15.75" customHeight="1" x14ac:dyDescent="0.2">
      <c r="A33" s="2"/>
      <c r="B33" s="2"/>
      <c r="C33" s="59" t="s">
        <v>473</v>
      </c>
      <c r="D33" s="2"/>
      <c r="E33" s="5"/>
      <c r="F33" s="6"/>
      <c r="G33" s="1"/>
      <c r="H33" s="2"/>
      <c r="I33" s="3"/>
      <c r="J33" s="4"/>
    </row>
    <row r="34" spans="1:10" ht="15.75" customHeight="1" x14ac:dyDescent="0.2">
      <c r="A34" s="2"/>
      <c r="B34" s="57" t="s">
        <v>474</v>
      </c>
      <c r="C34" s="59" t="s">
        <v>475</v>
      </c>
      <c r="D34" s="2"/>
      <c r="E34" s="5"/>
      <c r="F34" s="6"/>
      <c r="G34" s="1"/>
      <c r="H34" s="2"/>
      <c r="I34" s="3"/>
      <c r="J34" s="4"/>
    </row>
    <row r="35" spans="1:10" ht="15.75" customHeight="1" x14ac:dyDescent="0.2">
      <c r="A35" s="2"/>
      <c r="B35" s="2"/>
      <c r="C35" s="5"/>
      <c r="D35" s="2"/>
      <c r="E35" s="5"/>
      <c r="F35" s="6"/>
      <c r="G35" s="1"/>
      <c r="H35" s="2"/>
      <c r="I35" s="3"/>
      <c r="J35" s="4"/>
    </row>
    <row r="36" spans="1:10" ht="15.75" customHeight="1" x14ac:dyDescent="0.2">
      <c r="A36" s="2"/>
      <c r="B36" s="2"/>
      <c r="C36" s="5"/>
      <c r="D36" s="2"/>
      <c r="E36" s="5"/>
      <c r="F36" s="6"/>
      <c r="G36" s="1"/>
      <c r="H36" s="2"/>
      <c r="I36" s="3"/>
      <c r="J36" s="4"/>
    </row>
    <row r="37" spans="1:10" ht="15.75" customHeight="1" x14ac:dyDescent="0.2">
      <c r="A37" s="2"/>
      <c r="B37" s="2"/>
      <c r="C37" s="5"/>
      <c r="D37" s="2"/>
      <c r="E37" s="5"/>
      <c r="F37" s="6"/>
      <c r="G37" s="1"/>
      <c r="H37" s="2"/>
      <c r="I37" s="3"/>
      <c r="J37" s="4"/>
    </row>
    <row r="38" spans="1:10" ht="15.75" customHeight="1" x14ac:dyDescent="0.2">
      <c r="A38" s="2"/>
      <c r="B38" s="2"/>
      <c r="C38" s="5"/>
      <c r="D38" s="2"/>
      <c r="E38" s="5"/>
      <c r="F38" s="6"/>
      <c r="G38" s="1"/>
      <c r="H38" s="2"/>
      <c r="I38" s="3"/>
      <c r="J38" s="4"/>
    </row>
    <row r="39" spans="1:10" ht="15.75" customHeight="1" x14ac:dyDescent="0.2">
      <c r="A39" s="2"/>
      <c r="B39" s="2"/>
      <c r="C39" s="5"/>
      <c r="D39" s="2"/>
      <c r="E39" s="5"/>
      <c r="F39" s="6"/>
      <c r="G39" s="1"/>
      <c r="H39" s="2"/>
      <c r="I39" s="3"/>
      <c r="J39" s="4"/>
    </row>
    <row r="40" spans="1:10" ht="15.75" customHeight="1" x14ac:dyDescent="0.2">
      <c r="A40" s="2"/>
      <c r="B40" s="2"/>
      <c r="C40" s="5"/>
      <c r="D40" s="2"/>
      <c r="E40" s="5"/>
      <c r="F40" s="6"/>
      <c r="G40" s="1"/>
      <c r="H40" s="2"/>
      <c r="I40" s="3"/>
      <c r="J40" s="4"/>
    </row>
    <row r="41" spans="1:10" ht="15.75" customHeight="1" x14ac:dyDescent="0.2">
      <c r="A41" s="2"/>
      <c r="B41" s="2"/>
      <c r="C41" s="5"/>
      <c r="D41" s="2"/>
      <c r="E41" s="5"/>
      <c r="F41" s="6"/>
      <c r="G41" s="1"/>
      <c r="H41" s="2"/>
      <c r="I41" s="3"/>
      <c r="J41" s="4"/>
    </row>
    <row r="42" spans="1:10" ht="15.75" customHeight="1" x14ac:dyDescent="0.2">
      <c r="A42" s="2"/>
      <c r="B42" s="2"/>
      <c r="C42" s="5"/>
      <c r="D42" s="2"/>
      <c r="E42" s="5"/>
      <c r="F42" s="6"/>
      <c r="G42" s="1"/>
      <c r="H42" s="2"/>
      <c r="I42" s="3"/>
      <c r="J42" s="4"/>
    </row>
    <row r="43" spans="1:10" ht="15.75" customHeight="1" x14ac:dyDescent="0.2">
      <c r="A43" s="2"/>
      <c r="B43" s="2"/>
      <c r="C43" s="5"/>
      <c r="D43" s="2"/>
      <c r="E43" s="5"/>
      <c r="F43" s="6"/>
      <c r="G43" s="1"/>
      <c r="H43" s="2"/>
      <c r="I43" s="3"/>
      <c r="J43" s="4"/>
    </row>
    <row r="44" spans="1:10" ht="15.75" customHeight="1" x14ac:dyDescent="0.2">
      <c r="A44" s="2"/>
      <c r="B44" s="2"/>
      <c r="C44" s="5"/>
      <c r="D44" s="2"/>
      <c r="E44" s="5"/>
      <c r="F44" s="6"/>
      <c r="G44" s="1"/>
      <c r="H44" s="2"/>
      <c r="I44" s="3"/>
      <c r="J44" s="4"/>
    </row>
    <row r="45" spans="1:10" ht="15.75" customHeight="1" x14ac:dyDescent="0.2">
      <c r="A45" s="2"/>
      <c r="B45" s="2"/>
      <c r="C45" s="5"/>
      <c r="D45" s="2"/>
      <c r="E45" s="5"/>
      <c r="F45" s="6"/>
      <c r="G45" s="1"/>
      <c r="H45" s="2"/>
      <c r="I45" s="3"/>
      <c r="J45" s="4"/>
    </row>
    <row r="46" spans="1:10" ht="15.75" customHeight="1" x14ac:dyDescent="0.2">
      <c r="A46" s="2"/>
      <c r="B46" s="2"/>
      <c r="C46" s="5"/>
      <c r="D46" s="2"/>
      <c r="E46" s="5"/>
      <c r="F46" s="6"/>
      <c r="G46" s="1"/>
      <c r="H46" s="2"/>
      <c r="I46" s="3"/>
      <c r="J46" s="4"/>
    </row>
    <row r="47" spans="1:10" ht="15.75" customHeight="1" x14ac:dyDescent="0.2">
      <c r="A47" s="2"/>
      <c r="B47" s="2"/>
      <c r="C47" s="5"/>
      <c r="D47" s="2"/>
      <c r="E47" s="5"/>
      <c r="F47" s="6"/>
      <c r="G47" s="1"/>
      <c r="H47" s="2"/>
      <c r="I47" s="3"/>
      <c r="J47" s="4"/>
    </row>
    <row r="48" spans="1:10" ht="15.75" customHeight="1" x14ac:dyDescent="0.2">
      <c r="A48" s="2"/>
      <c r="B48" s="2"/>
      <c r="C48" s="5"/>
      <c r="D48" s="2"/>
      <c r="E48" s="5"/>
      <c r="F48" s="6"/>
      <c r="G48" s="1"/>
      <c r="H48" s="2"/>
      <c r="I48" s="3"/>
      <c r="J48" s="4"/>
    </row>
    <row r="49" spans="1:10" ht="15.75" customHeight="1" x14ac:dyDescent="0.2">
      <c r="A49" s="2"/>
      <c r="B49" s="2"/>
      <c r="C49" s="5"/>
      <c r="D49" s="2"/>
      <c r="E49" s="5"/>
      <c r="F49" s="6"/>
      <c r="G49" s="1"/>
      <c r="H49" s="2"/>
      <c r="I49" s="3"/>
      <c r="J49" s="4"/>
    </row>
    <row r="50" spans="1:10" ht="15.75" customHeight="1" x14ac:dyDescent="0.2">
      <c r="A50" s="2"/>
      <c r="B50" s="2"/>
      <c r="C50" s="5"/>
      <c r="D50" s="2"/>
      <c r="E50" s="5"/>
      <c r="F50" s="6"/>
      <c r="G50" s="1"/>
      <c r="H50" s="2"/>
      <c r="I50" s="3"/>
      <c r="J50" s="4"/>
    </row>
    <row r="51" spans="1:10" ht="15.75" customHeight="1" x14ac:dyDescent="0.2">
      <c r="A51" s="2"/>
      <c r="B51" s="2"/>
      <c r="C51" s="5"/>
      <c r="D51" s="2"/>
      <c r="E51" s="5"/>
      <c r="F51" s="6"/>
      <c r="G51" s="1"/>
      <c r="H51" s="2"/>
      <c r="I51" s="3"/>
      <c r="J51" s="4"/>
    </row>
    <row r="52" spans="1:10" ht="15.75" customHeight="1" x14ac:dyDescent="0.2">
      <c r="A52" s="2"/>
      <c r="B52" s="2"/>
      <c r="C52" s="5"/>
      <c r="D52" s="2"/>
      <c r="E52" s="5"/>
      <c r="F52" s="6"/>
      <c r="G52" s="1"/>
      <c r="H52" s="2"/>
      <c r="I52" s="3"/>
      <c r="J52" s="4"/>
    </row>
    <row r="53" spans="1:10" ht="15.75" customHeight="1" x14ac:dyDescent="0.2">
      <c r="A53" s="2"/>
      <c r="B53" s="2"/>
      <c r="C53" s="5"/>
      <c r="D53" s="2"/>
      <c r="E53" s="5"/>
      <c r="F53" s="6"/>
      <c r="G53" s="1"/>
      <c r="H53" s="2"/>
      <c r="I53" s="3"/>
      <c r="J53" s="4"/>
    </row>
    <row r="54" spans="1:10" ht="15.75" customHeight="1" x14ac:dyDescent="0.2">
      <c r="A54" s="2"/>
      <c r="B54" s="2"/>
      <c r="C54" s="5"/>
      <c r="D54" s="2"/>
      <c r="E54" s="5"/>
      <c r="F54" s="6"/>
      <c r="G54" s="1"/>
      <c r="H54" s="2"/>
      <c r="I54" s="3"/>
      <c r="J54" s="4"/>
    </row>
    <row r="55" spans="1:10" ht="15.75" customHeight="1" x14ac:dyDescent="0.2">
      <c r="A55" s="2"/>
      <c r="B55" s="2"/>
      <c r="C55" s="5"/>
      <c r="D55" s="2"/>
      <c r="E55" s="5"/>
      <c r="F55" s="6"/>
      <c r="G55" s="1"/>
      <c r="H55" s="2"/>
      <c r="I55" s="3"/>
      <c r="J55" s="4"/>
    </row>
    <row r="56" spans="1:10" ht="15.75" customHeight="1" x14ac:dyDescent="0.2">
      <c r="A56" s="2"/>
      <c r="B56" s="2"/>
      <c r="C56" s="5"/>
      <c r="D56" s="2"/>
      <c r="E56" s="5"/>
      <c r="F56" s="6"/>
      <c r="G56" s="1"/>
      <c r="H56" s="2"/>
      <c r="I56" s="3"/>
      <c r="J56" s="4"/>
    </row>
    <row r="57" spans="1:10" ht="15.75" customHeight="1" x14ac:dyDescent="0.2">
      <c r="A57" s="2"/>
      <c r="B57" s="2"/>
      <c r="C57" s="5"/>
      <c r="D57" s="2"/>
      <c r="E57" s="5"/>
      <c r="F57" s="6"/>
      <c r="G57" s="1"/>
      <c r="H57" s="2"/>
      <c r="I57" s="3"/>
      <c r="J57" s="4"/>
    </row>
    <row r="58" spans="1:10" ht="15.75" customHeight="1" x14ac:dyDescent="0.2">
      <c r="A58" s="2"/>
      <c r="B58" s="2"/>
      <c r="C58" s="5"/>
      <c r="D58" s="2"/>
      <c r="E58" s="5"/>
      <c r="F58" s="6"/>
      <c r="G58" s="1"/>
      <c r="H58" s="2"/>
      <c r="I58" s="3"/>
      <c r="J58" s="4"/>
    </row>
    <row r="59" spans="1:10" ht="15.75" customHeight="1" x14ac:dyDescent="0.2">
      <c r="A59" s="2"/>
      <c r="B59" s="2"/>
      <c r="C59" s="5"/>
      <c r="D59" s="2"/>
      <c r="E59" s="5"/>
      <c r="F59" s="6"/>
      <c r="G59" s="1"/>
      <c r="H59" s="2"/>
      <c r="I59" s="3"/>
      <c r="J59" s="4"/>
    </row>
    <row r="60" spans="1:10" ht="15.75" customHeight="1" x14ac:dyDescent="0.2">
      <c r="A60" s="2"/>
      <c r="B60" s="2"/>
      <c r="C60" s="5"/>
      <c r="D60" s="2"/>
      <c r="E60" s="5"/>
      <c r="F60" s="6"/>
      <c r="G60" s="1"/>
      <c r="H60" s="2"/>
      <c r="I60" s="3"/>
      <c r="J60" s="4"/>
    </row>
    <row r="61" spans="1:10" ht="15.75" customHeight="1" x14ac:dyDescent="0.2">
      <c r="A61" s="2"/>
      <c r="B61" s="2"/>
      <c r="C61" s="5"/>
      <c r="D61" s="2"/>
      <c r="E61" s="5"/>
      <c r="F61" s="6"/>
      <c r="G61" s="1"/>
      <c r="H61" s="2"/>
      <c r="I61" s="3"/>
      <c r="J61" s="4"/>
    </row>
    <row r="62" spans="1:10" ht="15.75" customHeight="1" x14ac:dyDescent="0.2">
      <c r="A62" s="2"/>
      <c r="B62" s="2"/>
      <c r="C62" s="5"/>
      <c r="D62" s="2"/>
      <c r="E62" s="5"/>
      <c r="F62" s="6"/>
      <c r="G62" s="1"/>
      <c r="H62" s="2"/>
      <c r="I62" s="3"/>
      <c r="J62" s="4"/>
    </row>
    <row r="63" spans="1:10" ht="15.75" customHeight="1" x14ac:dyDescent="0.2">
      <c r="A63" s="2"/>
      <c r="B63" s="2"/>
      <c r="C63" s="5"/>
      <c r="D63" s="2"/>
      <c r="E63" s="5"/>
      <c r="F63" s="6"/>
      <c r="G63" s="1"/>
      <c r="H63" s="2"/>
      <c r="I63" s="3"/>
      <c r="J63" s="4"/>
    </row>
    <row r="64" spans="1:10" ht="15.75" customHeight="1" x14ac:dyDescent="0.2">
      <c r="A64" s="2"/>
      <c r="B64" s="2"/>
      <c r="C64" s="5"/>
      <c r="D64" s="2"/>
      <c r="E64" s="5"/>
      <c r="F64" s="6"/>
      <c r="G64" s="1"/>
      <c r="H64" s="2"/>
      <c r="I64" s="3"/>
      <c r="J64" s="4"/>
    </row>
    <row r="65" spans="1:10" ht="15.75" customHeight="1" x14ac:dyDescent="0.2">
      <c r="A65" s="2"/>
      <c r="B65" s="2"/>
      <c r="C65" s="5"/>
      <c r="D65" s="2"/>
      <c r="E65" s="5"/>
      <c r="F65" s="6"/>
      <c r="G65" s="1"/>
      <c r="H65" s="2"/>
      <c r="I65" s="3"/>
      <c r="J65" s="4"/>
    </row>
    <row r="66" spans="1:10" ht="15.75" customHeight="1" x14ac:dyDescent="0.2">
      <c r="A66" s="2"/>
      <c r="B66" s="2"/>
      <c r="C66" s="5"/>
      <c r="D66" s="2"/>
      <c r="E66" s="5"/>
      <c r="F66" s="6"/>
      <c r="G66" s="1"/>
      <c r="H66" s="2"/>
      <c r="I66" s="3"/>
      <c r="J66" s="4"/>
    </row>
    <row r="67" spans="1:10" ht="15.75" customHeight="1" x14ac:dyDescent="0.2">
      <c r="A67" s="2"/>
      <c r="B67" s="2"/>
      <c r="C67" s="5"/>
      <c r="D67" s="2"/>
      <c r="E67" s="5"/>
      <c r="F67" s="6"/>
      <c r="G67" s="1"/>
      <c r="H67" s="2"/>
      <c r="I67" s="3"/>
      <c r="J67" s="4"/>
    </row>
    <row r="68" spans="1:10" ht="15.75" customHeight="1" x14ac:dyDescent="0.2">
      <c r="A68" s="2"/>
      <c r="B68" s="2"/>
      <c r="C68" s="5"/>
      <c r="D68" s="2"/>
      <c r="E68" s="5"/>
      <c r="F68" s="6"/>
      <c r="G68" s="1"/>
      <c r="H68" s="2"/>
      <c r="I68" s="3"/>
      <c r="J68" s="4"/>
    </row>
    <row r="69" spans="1:10" ht="15.75" customHeight="1" x14ac:dyDescent="0.2">
      <c r="A69" s="2"/>
      <c r="B69" s="2"/>
      <c r="C69" s="5"/>
      <c r="D69" s="2"/>
      <c r="E69" s="5"/>
      <c r="F69" s="6"/>
      <c r="G69" s="1"/>
      <c r="H69" s="2"/>
      <c r="I69" s="3"/>
      <c r="J69" s="4"/>
    </row>
    <row r="70" spans="1:10" ht="15.75" customHeight="1" x14ac:dyDescent="0.2">
      <c r="A70" s="2"/>
      <c r="B70" s="2"/>
      <c r="C70" s="5"/>
      <c r="D70" s="2"/>
      <c r="E70" s="5"/>
      <c r="F70" s="6"/>
      <c r="G70" s="1"/>
      <c r="H70" s="2"/>
      <c r="I70" s="3"/>
      <c r="J70" s="4"/>
    </row>
    <row r="71" spans="1:10" ht="15.75" customHeight="1" x14ac:dyDescent="0.2">
      <c r="A71" s="2"/>
      <c r="B71" s="2"/>
      <c r="C71" s="5"/>
      <c r="D71" s="2"/>
      <c r="E71" s="5"/>
      <c r="F71" s="6"/>
      <c r="G71" s="1"/>
      <c r="H71" s="2"/>
      <c r="I71" s="3"/>
      <c r="J71" s="4"/>
    </row>
    <row r="72" spans="1:10" ht="15.75" customHeight="1" x14ac:dyDescent="0.2">
      <c r="A72" s="2"/>
      <c r="B72" s="2"/>
      <c r="C72" s="5"/>
      <c r="D72" s="2"/>
      <c r="E72" s="5"/>
      <c r="F72" s="6"/>
      <c r="G72" s="1"/>
      <c r="H72" s="2"/>
      <c r="I72" s="3"/>
      <c r="J72" s="4"/>
    </row>
    <row r="73" spans="1:10" ht="15.75" customHeight="1" x14ac:dyDescent="0.2">
      <c r="A73" s="2"/>
      <c r="B73" s="2"/>
      <c r="C73" s="5"/>
      <c r="D73" s="2"/>
      <c r="E73" s="5"/>
      <c r="F73" s="6"/>
      <c r="G73" s="1"/>
      <c r="H73" s="2"/>
      <c r="I73" s="3"/>
      <c r="J73" s="4"/>
    </row>
    <row r="74" spans="1:10" ht="15.75" customHeight="1" x14ac:dyDescent="0.2">
      <c r="A74" s="2"/>
      <c r="B74" s="2"/>
      <c r="C74" s="5"/>
      <c r="D74" s="2"/>
      <c r="E74" s="5"/>
      <c r="F74" s="6"/>
      <c r="G74" s="1"/>
      <c r="H74" s="2"/>
      <c r="I74" s="3"/>
      <c r="J74" s="4"/>
    </row>
    <row r="75" spans="1:10" ht="15.75" customHeight="1" x14ac:dyDescent="0.2">
      <c r="A75" s="2"/>
      <c r="B75" s="2"/>
      <c r="C75" s="5"/>
      <c r="D75" s="2"/>
      <c r="E75" s="5"/>
      <c r="F75" s="6"/>
      <c r="G75" s="1"/>
      <c r="H75" s="2"/>
      <c r="I75" s="3"/>
      <c r="J75" s="4"/>
    </row>
    <row r="76" spans="1:10" ht="15.75" customHeight="1" x14ac:dyDescent="0.2">
      <c r="A76" s="2"/>
      <c r="B76" s="2"/>
      <c r="C76" s="5"/>
      <c r="D76" s="2"/>
      <c r="E76" s="5"/>
      <c r="F76" s="6"/>
      <c r="G76" s="1"/>
      <c r="H76" s="2"/>
      <c r="I76" s="3"/>
      <c r="J76" s="4"/>
    </row>
    <row r="77" spans="1:10" ht="15.75" customHeight="1" x14ac:dyDescent="0.2">
      <c r="A77" s="2"/>
      <c r="B77" s="2"/>
      <c r="C77" s="5"/>
      <c r="D77" s="2"/>
      <c r="E77" s="5"/>
      <c r="F77" s="6"/>
      <c r="G77" s="1"/>
      <c r="H77" s="2"/>
      <c r="I77" s="3"/>
      <c r="J77" s="4"/>
    </row>
    <row r="78" spans="1:10" ht="15.75" customHeight="1" x14ac:dyDescent="0.2">
      <c r="A78" s="2"/>
      <c r="B78" s="2"/>
      <c r="C78" s="5"/>
      <c r="D78" s="2"/>
      <c r="E78" s="5"/>
      <c r="F78" s="6"/>
      <c r="G78" s="1"/>
      <c r="H78" s="2"/>
      <c r="I78" s="3"/>
      <c r="J78" s="4"/>
    </row>
    <row r="79" spans="1:10" ht="15.75" customHeight="1" x14ac:dyDescent="0.2">
      <c r="A79" s="2"/>
      <c r="B79" s="2"/>
      <c r="C79" s="5"/>
      <c r="D79" s="2"/>
      <c r="E79" s="5"/>
      <c r="F79" s="6"/>
      <c r="G79" s="1"/>
      <c r="H79" s="2"/>
      <c r="I79" s="3"/>
      <c r="J79" s="4"/>
    </row>
    <row r="80" spans="1:10" ht="15.75" customHeight="1" x14ac:dyDescent="0.2">
      <c r="A80" s="2"/>
      <c r="B80" s="2"/>
      <c r="C80" s="5"/>
      <c r="D80" s="2"/>
      <c r="E80" s="5"/>
      <c r="F80" s="6"/>
      <c r="G80" s="1"/>
      <c r="H80" s="2"/>
      <c r="I80" s="3"/>
      <c r="J80" s="4"/>
    </row>
    <row r="81" spans="1:10" ht="15.75" customHeight="1" x14ac:dyDescent="0.2">
      <c r="A81" s="2"/>
      <c r="B81" s="2"/>
      <c r="C81" s="5"/>
      <c r="D81" s="2"/>
      <c r="E81" s="5"/>
      <c r="F81" s="6"/>
      <c r="G81" s="1"/>
      <c r="H81" s="2"/>
      <c r="I81" s="3"/>
      <c r="J81" s="4"/>
    </row>
    <row r="82" spans="1:10" ht="15.75" customHeight="1" x14ac:dyDescent="0.2">
      <c r="A82" s="2"/>
      <c r="B82" s="2"/>
      <c r="C82" s="5"/>
      <c r="D82" s="2"/>
      <c r="E82" s="5"/>
      <c r="F82" s="6"/>
      <c r="G82" s="1"/>
      <c r="H82" s="2"/>
      <c r="I82" s="3"/>
      <c r="J82" s="4"/>
    </row>
    <row r="83" spans="1:10" ht="15.75" customHeight="1" x14ac:dyDescent="0.2">
      <c r="A83" s="2"/>
      <c r="B83" s="2"/>
      <c r="C83" s="5"/>
      <c r="D83" s="2"/>
      <c r="E83" s="5"/>
      <c r="F83" s="6"/>
      <c r="G83" s="1"/>
      <c r="H83" s="2"/>
      <c r="I83" s="3"/>
      <c r="J83" s="4"/>
    </row>
    <row r="84" spans="1:10" ht="15.75" customHeight="1" x14ac:dyDescent="0.2">
      <c r="A84" s="2"/>
      <c r="B84" s="2"/>
      <c r="C84" s="5"/>
      <c r="D84" s="2"/>
      <c r="E84" s="5"/>
      <c r="F84" s="6"/>
      <c r="G84" s="1"/>
      <c r="H84" s="2"/>
      <c r="I84" s="3"/>
      <c r="J84" s="4"/>
    </row>
    <row r="85" spans="1:10" ht="15.75" customHeight="1" x14ac:dyDescent="0.2">
      <c r="A85" s="2"/>
      <c r="B85" s="2"/>
      <c r="C85" s="5"/>
      <c r="D85" s="2"/>
      <c r="E85" s="5"/>
      <c r="F85" s="6"/>
      <c r="G85" s="1"/>
      <c r="H85" s="2"/>
      <c r="I85" s="3"/>
      <c r="J85" s="4"/>
    </row>
    <row r="86" spans="1:10" ht="15.75" customHeight="1" x14ac:dyDescent="0.2">
      <c r="A86" s="2"/>
      <c r="B86" s="2"/>
      <c r="C86" s="5"/>
      <c r="D86" s="2"/>
      <c r="E86" s="5"/>
      <c r="F86" s="6"/>
      <c r="G86" s="1"/>
      <c r="H86" s="2"/>
      <c r="I86" s="3"/>
      <c r="J86" s="4"/>
    </row>
    <row r="87" spans="1:10" ht="15.75" customHeight="1" x14ac:dyDescent="0.2">
      <c r="A87" s="2"/>
      <c r="B87" s="2"/>
      <c r="C87" s="5"/>
      <c r="D87" s="2"/>
      <c r="E87" s="5"/>
      <c r="F87" s="6"/>
      <c r="G87" s="1"/>
      <c r="H87" s="2"/>
      <c r="I87" s="3"/>
      <c r="J87" s="4"/>
    </row>
    <row r="88" spans="1:10" ht="15.75" customHeight="1" x14ac:dyDescent="0.2">
      <c r="A88" s="2"/>
      <c r="B88" s="2"/>
      <c r="C88" s="5"/>
      <c r="D88" s="2"/>
      <c r="E88" s="5"/>
      <c r="F88" s="6"/>
      <c r="G88" s="1"/>
      <c r="H88" s="2"/>
      <c r="I88" s="3"/>
      <c r="J88" s="4"/>
    </row>
    <row r="89" spans="1:10" ht="15.75" customHeight="1" x14ac:dyDescent="0.2">
      <c r="A89" s="2"/>
      <c r="B89" s="2"/>
      <c r="C89" s="5"/>
      <c r="D89" s="2"/>
      <c r="E89" s="5"/>
      <c r="F89" s="6"/>
      <c r="G89" s="1"/>
      <c r="H89" s="2"/>
      <c r="I89" s="3"/>
      <c r="J89" s="4"/>
    </row>
    <row r="90" spans="1:10" ht="15.75" customHeight="1" x14ac:dyDescent="0.2">
      <c r="A90" s="2"/>
      <c r="B90" s="2"/>
      <c r="C90" s="5"/>
      <c r="D90" s="2"/>
      <c r="E90" s="5"/>
      <c r="F90" s="6"/>
      <c r="G90" s="1"/>
      <c r="H90" s="2"/>
      <c r="I90" s="3"/>
      <c r="J90" s="4"/>
    </row>
    <row r="91" spans="1:10" ht="15.75" customHeight="1" x14ac:dyDescent="0.2">
      <c r="A91" s="2"/>
      <c r="B91" s="2"/>
      <c r="C91" s="5"/>
      <c r="D91" s="2"/>
      <c r="E91" s="5"/>
      <c r="F91" s="6"/>
      <c r="G91" s="1"/>
      <c r="H91" s="2"/>
      <c r="I91" s="3"/>
      <c r="J91" s="4"/>
    </row>
    <row r="92" spans="1:10" ht="15.75" customHeight="1" x14ac:dyDescent="0.2">
      <c r="A92" s="2"/>
      <c r="B92" s="2"/>
      <c r="C92" s="5"/>
      <c r="D92" s="2"/>
      <c r="E92" s="5"/>
      <c r="F92" s="6"/>
      <c r="G92" s="1"/>
      <c r="H92" s="2"/>
      <c r="I92" s="3"/>
      <c r="J92" s="4"/>
    </row>
    <row r="93" spans="1:10" ht="15.75" customHeight="1" x14ac:dyDescent="0.2">
      <c r="A93" s="2"/>
      <c r="B93" s="2"/>
      <c r="C93" s="5"/>
      <c r="D93" s="2"/>
      <c r="E93" s="5"/>
      <c r="F93" s="6"/>
      <c r="G93" s="1"/>
      <c r="H93" s="2"/>
      <c r="I93" s="3"/>
      <c r="J93" s="4"/>
    </row>
    <row r="94" spans="1:10" ht="15.75" customHeight="1" x14ac:dyDescent="0.2">
      <c r="A94" s="2"/>
      <c r="B94" s="2"/>
      <c r="C94" s="5"/>
      <c r="D94" s="2"/>
      <c r="E94" s="5"/>
      <c r="F94" s="6"/>
      <c r="G94" s="1"/>
      <c r="H94" s="2"/>
      <c r="I94" s="3"/>
      <c r="J94" s="4"/>
    </row>
    <row r="95" spans="1:10" ht="15.75" customHeight="1" x14ac:dyDescent="0.2">
      <c r="A95" s="2"/>
      <c r="B95" s="2"/>
      <c r="C95" s="5"/>
      <c r="D95" s="2"/>
      <c r="E95" s="5"/>
      <c r="F95" s="6"/>
      <c r="G95" s="1"/>
      <c r="H95" s="2"/>
      <c r="I95" s="3"/>
      <c r="J95" s="4"/>
    </row>
    <row r="96" spans="1:10" ht="15.75" customHeight="1" x14ac:dyDescent="0.2">
      <c r="A96" s="2"/>
      <c r="B96" s="2"/>
      <c r="C96" s="5"/>
      <c r="D96" s="2"/>
      <c r="E96" s="5"/>
      <c r="F96" s="6"/>
      <c r="G96" s="1"/>
      <c r="H96" s="2"/>
      <c r="I96" s="3"/>
      <c r="J96" s="4"/>
    </row>
    <row r="97" spans="1:10" ht="15.75" customHeight="1" x14ac:dyDescent="0.2">
      <c r="A97" s="2"/>
      <c r="B97" s="2"/>
      <c r="C97" s="5"/>
      <c r="D97" s="2"/>
      <c r="E97" s="5"/>
      <c r="F97" s="6"/>
      <c r="G97" s="1"/>
      <c r="H97" s="2"/>
      <c r="I97" s="3"/>
      <c r="J97" s="4"/>
    </row>
    <row r="98" spans="1:10" ht="15.75" customHeight="1" x14ac:dyDescent="0.2">
      <c r="A98" s="2"/>
      <c r="B98" s="2"/>
      <c r="C98" s="5"/>
      <c r="D98" s="2"/>
      <c r="E98" s="5"/>
      <c r="F98" s="6"/>
      <c r="G98" s="1"/>
      <c r="H98" s="2"/>
      <c r="I98" s="3"/>
      <c r="J98" s="4"/>
    </row>
    <row r="99" spans="1:10" ht="15.75" customHeight="1" x14ac:dyDescent="0.2">
      <c r="A99" s="2"/>
      <c r="B99" s="2"/>
      <c r="C99" s="5"/>
      <c r="D99" s="2"/>
      <c r="E99" s="5"/>
      <c r="F99" s="6"/>
      <c r="G99" s="1"/>
      <c r="H99" s="2"/>
      <c r="I99" s="3"/>
      <c r="J99" s="4"/>
    </row>
    <row r="100" spans="1:10" ht="15.75" customHeight="1" x14ac:dyDescent="0.2">
      <c r="A100" s="2"/>
      <c r="B100" s="2"/>
      <c r="C100" s="5"/>
      <c r="D100" s="2"/>
      <c r="E100" s="5"/>
      <c r="F100" s="6"/>
      <c r="G100" s="1"/>
      <c r="H100" s="2"/>
      <c r="I100" s="3"/>
      <c r="J100" s="4"/>
    </row>
    <row r="101" spans="1:10" ht="15.75" customHeight="1" x14ac:dyDescent="0.2">
      <c r="A101" s="2"/>
      <c r="B101" s="2"/>
      <c r="C101" s="5"/>
      <c r="D101" s="2"/>
      <c r="E101" s="5"/>
      <c r="F101" s="6"/>
      <c r="G101" s="1"/>
      <c r="H101" s="2"/>
      <c r="I101" s="3"/>
      <c r="J101" s="4"/>
    </row>
    <row r="102" spans="1:10" ht="15.75" customHeight="1" x14ac:dyDescent="0.2">
      <c r="A102" s="2"/>
      <c r="B102" s="2"/>
      <c r="C102" s="5"/>
      <c r="D102" s="2"/>
      <c r="E102" s="5"/>
      <c r="F102" s="6"/>
      <c r="G102" s="1"/>
      <c r="H102" s="2"/>
      <c r="I102" s="3"/>
      <c r="J102" s="4"/>
    </row>
    <row r="103" spans="1:10" ht="15.75" customHeight="1" x14ac:dyDescent="0.2">
      <c r="A103" s="2"/>
      <c r="B103" s="2"/>
      <c r="C103" s="5"/>
      <c r="D103" s="2"/>
      <c r="E103" s="5"/>
      <c r="F103" s="6"/>
      <c r="G103" s="1"/>
      <c r="H103" s="2"/>
      <c r="I103" s="3"/>
      <c r="J103" s="4"/>
    </row>
    <row r="104" spans="1:10" ht="15.75" customHeight="1" x14ac:dyDescent="0.2">
      <c r="A104" s="2"/>
      <c r="B104" s="2"/>
      <c r="C104" s="5"/>
      <c r="D104" s="2"/>
      <c r="E104" s="5"/>
      <c r="F104" s="6"/>
      <c r="G104" s="1"/>
      <c r="H104" s="2"/>
      <c r="I104" s="3"/>
      <c r="J104" s="4"/>
    </row>
    <row r="105" spans="1:10" ht="15.75" customHeight="1" x14ac:dyDescent="0.2">
      <c r="A105" s="2"/>
      <c r="B105" s="2"/>
      <c r="C105" s="5"/>
      <c r="D105" s="2"/>
      <c r="E105" s="5"/>
      <c r="F105" s="6"/>
      <c r="G105" s="1"/>
      <c r="H105" s="2"/>
      <c r="I105" s="3"/>
      <c r="J105" s="4"/>
    </row>
    <row r="106" spans="1:10" ht="15.75" customHeight="1" x14ac:dyDescent="0.2">
      <c r="A106" s="2"/>
      <c r="B106" s="2"/>
      <c r="C106" s="5"/>
      <c r="D106" s="2"/>
      <c r="E106" s="5"/>
      <c r="F106" s="6"/>
      <c r="G106" s="1"/>
      <c r="H106" s="2"/>
      <c r="I106" s="3"/>
      <c r="J106" s="4"/>
    </row>
    <row r="107" spans="1:10" ht="15.75" customHeight="1" x14ac:dyDescent="0.2">
      <c r="A107" s="2"/>
      <c r="B107" s="2"/>
      <c r="C107" s="5"/>
      <c r="D107" s="2"/>
      <c r="E107" s="5"/>
      <c r="F107" s="6"/>
      <c r="G107" s="1"/>
      <c r="H107" s="2"/>
      <c r="I107" s="3"/>
      <c r="J107" s="4"/>
    </row>
    <row r="108" spans="1:10" ht="15.75" customHeight="1" x14ac:dyDescent="0.2">
      <c r="A108" s="2"/>
      <c r="B108" s="2"/>
      <c r="C108" s="5"/>
      <c r="D108" s="2"/>
      <c r="E108" s="5"/>
      <c r="F108" s="6"/>
      <c r="G108" s="1"/>
      <c r="H108" s="2"/>
      <c r="I108" s="3"/>
      <c r="J108" s="4"/>
    </row>
    <row r="109" spans="1:10" ht="15.75" customHeight="1" x14ac:dyDescent="0.2">
      <c r="A109" s="2"/>
      <c r="B109" s="2"/>
      <c r="C109" s="5"/>
      <c r="D109" s="2"/>
      <c r="E109" s="5"/>
      <c r="F109" s="6"/>
      <c r="G109" s="1"/>
      <c r="H109" s="2"/>
      <c r="I109" s="3"/>
      <c r="J109" s="4"/>
    </row>
    <row r="110" spans="1:10" ht="15.75" customHeight="1" x14ac:dyDescent="0.2">
      <c r="A110" s="2"/>
      <c r="B110" s="2"/>
      <c r="C110" s="5"/>
      <c r="D110" s="2"/>
      <c r="E110" s="5"/>
      <c r="F110" s="6"/>
      <c r="G110" s="1"/>
      <c r="H110" s="2"/>
      <c r="I110" s="3"/>
      <c r="J110" s="4"/>
    </row>
    <row r="111" spans="1:10" ht="15.75" customHeight="1" x14ac:dyDescent="0.2">
      <c r="A111" s="2"/>
      <c r="B111" s="2"/>
      <c r="C111" s="5"/>
      <c r="D111" s="2"/>
      <c r="E111" s="5"/>
      <c r="F111" s="6"/>
      <c r="G111" s="1"/>
      <c r="H111" s="2"/>
      <c r="I111" s="3"/>
      <c r="J111" s="4"/>
    </row>
    <row r="112" spans="1:10" ht="15.75" customHeight="1" x14ac:dyDescent="0.2">
      <c r="A112" s="2"/>
      <c r="B112" s="2"/>
      <c r="C112" s="5"/>
      <c r="D112" s="2"/>
      <c r="E112" s="5"/>
      <c r="F112" s="6"/>
      <c r="G112" s="1"/>
      <c r="H112" s="2"/>
      <c r="I112" s="3"/>
      <c r="J112" s="4"/>
    </row>
    <row r="113" spans="1:10" ht="15.75" customHeight="1" x14ac:dyDescent="0.2">
      <c r="A113" s="2"/>
      <c r="B113" s="2"/>
      <c r="C113" s="5"/>
      <c r="D113" s="2"/>
      <c r="E113" s="5"/>
      <c r="F113" s="6"/>
      <c r="G113" s="1"/>
      <c r="H113" s="2"/>
      <c r="I113" s="3"/>
      <c r="J113" s="4"/>
    </row>
    <row r="114" spans="1:10" ht="15.75" customHeight="1" x14ac:dyDescent="0.2">
      <c r="A114" s="2"/>
      <c r="B114" s="2"/>
      <c r="C114" s="5"/>
      <c r="D114" s="2"/>
      <c r="E114" s="5"/>
      <c r="F114" s="6"/>
      <c r="G114" s="1"/>
      <c r="H114" s="2"/>
      <c r="I114" s="3"/>
      <c r="J114" s="4"/>
    </row>
    <row r="115" spans="1:10" ht="15.75" customHeight="1" x14ac:dyDescent="0.2">
      <c r="A115" s="2"/>
      <c r="B115" s="2"/>
      <c r="C115" s="5"/>
      <c r="D115" s="2"/>
      <c r="E115" s="5"/>
      <c r="F115" s="6"/>
      <c r="G115" s="1"/>
      <c r="H115" s="2"/>
      <c r="I115" s="3"/>
      <c r="J115" s="4"/>
    </row>
    <row r="116" spans="1:10" ht="15.75" customHeight="1" x14ac:dyDescent="0.2">
      <c r="A116" s="2"/>
      <c r="B116" s="2"/>
      <c r="C116" s="5"/>
      <c r="D116" s="2"/>
      <c r="E116" s="5"/>
      <c r="F116" s="6"/>
      <c r="G116" s="1"/>
      <c r="H116" s="2"/>
      <c r="I116" s="3"/>
      <c r="J116" s="4"/>
    </row>
    <row r="117" spans="1:10" ht="15.75" customHeight="1" x14ac:dyDescent="0.2">
      <c r="A117" s="2"/>
      <c r="B117" s="2"/>
      <c r="C117" s="5"/>
      <c r="D117" s="2"/>
      <c r="E117" s="5"/>
      <c r="F117" s="6"/>
      <c r="G117" s="1"/>
      <c r="H117" s="2"/>
      <c r="I117" s="3"/>
      <c r="J117" s="4"/>
    </row>
    <row r="118" spans="1:10" ht="15.75" customHeight="1" x14ac:dyDescent="0.2">
      <c r="A118" s="2"/>
      <c r="B118" s="2"/>
      <c r="C118" s="5"/>
      <c r="D118" s="2"/>
      <c r="E118" s="5"/>
      <c r="F118" s="6"/>
      <c r="G118" s="1"/>
      <c r="H118" s="2"/>
      <c r="I118" s="3"/>
      <c r="J118" s="4"/>
    </row>
    <row r="119" spans="1:10" ht="15.75" customHeight="1" x14ac:dyDescent="0.2">
      <c r="A119" s="2"/>
      <c r="B119" s="2"/>
      <c r="C119" s="5"/>
      <c r="D119" s="2"/>
      <c r="E119" s="5"/>
      <c r="F119" s="6"/>
      <c r="G119" s="1"/>
      <c r="H119" s="2"/>
      <c r="I119" s="3"/>
      <c r="J119" s="4"/>
    </row>
    <row r="120" spans="1:10" ht="15.75" customHeight="1" x14ac:dyDescent="0.2">
      <c r="A120" s="2"/>
      <c r="B120" s="2"/>
      <c r="C120" s="5"/>
      <c r="D120" s="2"/>
      <c r="E120" s="5"/>
      <c r="F120" s="6"/>
      <c r="G120" s="1"/>
      <c r="H120" s="2"/>
      <c r="I120" s="3"/>
      <c r="J120" s="4"/>
    </row>
    <row r="121" spans="1:10" ht="15.75" customHeight="1" x14ac:dyDescent="0.2">
      <c r="A121" s="2"/>
      <c r="B121" s="2"/>
      <c r="C121" s="5"/>
      <c r="D121" s="2"/>
      <c r="E121" s="5"/>
      <c r="F121" s="6"/>
      <c r="G121" s="1"/>
      <c r="H121" s="2"/>
      <c r="I121" s="3"/>
      <c r="J121" s="4"/>
    </row>
    <row r="122" spans="1:10" ht="15.75" customHeight="1" x14ac:dyDescent="0.2">
      <c r="A122" s="2"/>
      <c r="B122" s="2"/>
      <c r="C122" s="5"/>
      <c r="D122" s="2"/>
      <c r="E122" s="5"/>
      <c r="F122" s="6"/>
      <c r="G122" s="1"/>
      <c r="H122" s="2"/>
      <c r="I122" s="3"/>
      <c r="J122" s="4"/>
    </row>
    <row r="123" spans="1:10" ht="15.75" customHeight="1" x14ac:dyDescent="0.2">
      <c r="A123" s="2"/>
      <c r="B123" s="2"/>
      <c r="C123" s="5"/>
      <c r="D123" s="2"/>
      <c r="E123" s="5"/>
      <c r="F123" s="6"/>
      <c r="G123" s="1"/>
      <c r="H123" s="2"/>
      <c r="I123" s="3"/>
      <c r="J123" s="4"/>
    </row>
    <row r="124" spans="1:10" ht="15.75" customHeight="1" x14ac:dyDescent="0.2">
      <c r="A124" s="2"/>
      <c r="B124" s="2"/>
      <c r="C124" s="5"/>
      <c r="D124" s="2"/>
      <c r="E124" s="5"/>
      <c r="F124" s="6"/>
      <c r="G124" s="1"/>
      <c r="H124" s="2"/>
      <c r="I124" s="3"/>
      <c r="J124" s="4"/>
    </row>
    <row r="125" spans="1:10" ht="15.75" customHeight="1" x14ac:dyDescent="0.2">
      <c r="A125" s="2"/>
      <c r="B125" s="2"/>
      <c r="C125" s="5"/>
      <c r="D125" s="2"/>
      <c r="E125" s="5"/>
      <c r="F125" s="6"/>
      <c r="G125" s="1"/>
      <c r="H125" s="2"/>
      <c r="I125" s="3"/>
      <c r="J125" s="4"/>
    </row>
    <row r="126" spans="1:10" ht="15.75" customHeight="1" x14ac:dyDescent="0.2">
      <c r="A126" s="2"/>
      <c r="B126" s="2"/>
      <c r="C126" s="5"/>
      <c r="D126" s="2"/>
      <c r="E126" s="5"/>
      <c r="F126" s="6"/>
      <c r="G126" s="1"/>
      <c r="H126" s="2"/>
      <c r="I126" s="3"/>
      <c r="J126" s="4"/>
    </row>
    <row r="127" spans="1:10" ht="15.75" customHeight="1" x14ac:dyDescent="0.2">
      <c r="A127" s="2"/>
      <c r="B127" s="2"/>
      <c r="C127" s="5"/>
      <c r="D127" s="2"/>
      <c r="E127" s="5"/>
      <c r="F127" s="6"/>
      <c r="G127" s="1"/>
      <c r="H127" s="2"/>
      <c r="I127" s="3"/>
      <c r="J127" s="4"/>
    </row>
    <row r="128" spans="1:10" ht="15.75" customHeight="1" x14ac:dyDescent="0.2">
      <c r="A128" s="2"/>
      <c r="B128" s="2"/>
      <c r="C128" s="5"/>
      <c r="D128" s="2"/>
      <c r="E128" s="5"/>
      <c r="F128" s="6"/>
      <c r="G128" s="1"/>
      <c r="H128" s="2"/>
      <c r="I128" s="3"/>
      <c r="J128" s="4"/>
    </row>
    <row r="129" spans="1:10" ht="15.75" customHeight="1" x14ac:dyDescent="0.2">
      <c r="A129" s="2"/>
      <c r="B129" s="2"/>
      <c r="C129" s="5"/>
      <c r="D129" s="2"/>
      <c r="E129" s="5"/>
      <c r="F129" s="6"/>
      <c r="G129" s="1"/>
      <c r="H129" s="2"/>
      <c r="I129" s="3"/>
      <c r="J129" s="4"/>
    </row>
    <row r="130" spans="1:10" ht="15.75" customHeight="1" x14ac:dyDescent="0.2">
      <c r="A130" s="2"/>
      <c r="B130" s="2"/>
      <c r="C130" s="5"/>
      <c r="D130" s="2"/>
      <c r="E130" s="5"/>
      <c r="F130" s="6"/>
      <c r="G130" s="1"/>
      <c r="H130" s="2"/>
      <c r="I130" s="3"/>
      <c r="J130" s="4"/>
    </row>
    <row r="131" spans="1:10" ht="15.75" customHeight="1" x14ac:dyDescent="0.2">
      <c r="A131" s="2"/>
      <c r="B131" s="2"/>
      <c r="C131" s="5"/>
      <c r="D131" s="2"/>
      <c r="E131" s="5"/>
      <c r="F131" s="6"/>
      <c r="G131" s="1"/>
      <c r="H131" s="2"/>
      <c r="I131" s="3"/>
      <c r="J131" s="4"/>
    </row>
    <row r="132" spans="1:10" ht="15.75" customHeight="1" x14ac:dyDescent="0.2">
      <c r="A132" s="2"/>
      <c r="B132" s="2"/>
      <c r="C132" s="5"/>
      <c r="D132" s="2"/>
      <c r="E132" s="5"/>
      <c r="F132" s="6"/>
      <c r="G132" s="1"/>
      <c r="H132" s="2"/>
      <c r="I132" s="3"/>
      <c r="J132" s="4"/>
    </row>
    <row r="133" spans="1:10" ht="15.75" customHeight="1" x14ac:dyDescent="0.2">
      <c r="A133" s="2"/>
      <c r="B133" s="2"/>
      <c r="C133" s="5"/>
      <c r="D133" s="2"/>
      <c r="E133" s="5"/>
      <c r="F133" s="6"/>
      <c r="G133" s="1"/>
      <c r="H133" s="2"/>
      <c r="I133" s="3"/>
      <c r="J133" s="4"/>
    </row>
    <row r="134" spans="1:10" ht="15.75" customHeight="1" x14ac:dyDescent="0.2">
      <c r="A134" s="2"/>
      <c r="B134" s="2"/>
      <c r="C134" s="5"/>
      <c r="D134" s="2"/>
      <c r="E134" s="5"/>
      <c r="F134" s="6"/>
      <c r="G134" s="1"/>
      <c r="H134" s="2"/>
      <c r="I134" s="3"/>
      <c r="J134" s="4"/>
    </row>
    <row r="135" spans="1:10" ht="15.75" customHeight="1" x14ac:dyDescent="0.2">
      <c r="A135" s="2"/>
      <c r="B135" s="2"/>
      <c r="C135" s="5"/>
      <c r="D135" s="2"/>
      <c r="E135" s="5"/>
      <c r="F135" s="6"/>
      <c r="G135" s="1"/>
      <c r="H135" s="2"/>
      <c r="I135" s="3"/>
      <c r="J135" s="4"/>
    </row>
    <row r="136" spans="1:10" ht="15.75" customHeight="1" x14ac:dyDescent="0.2">
      <c r="A136" s="2"/>
      <c r="B136" s="2"/>
      <c r="C136" s="5"/>
      <c r="D136" s="2"/>
      <c r="E136" s="5"/>
      <c r="F136" s="6"/>
      <c r="G136" s="1"/>
      <c r="H136" s="2"/>
      <c r="I136" s="3"/>
      <c r="J136" s="4"/>
    </row>
    <row r="137" spans="1:10" ht="15.75" customHeight="1" x14ac:dyDescent="0.2">
      <c r="A137" s="2"/>
      <c r="B137" s="2"/>
      <c r="C137" s="5"/>
      <c r="D137" s="2"/>
      <c r="E137" s="5"/>
      <c r="F137" s="6"/>
      <c r="G137" s="1"/>
      <c r="H137" s="2"/>
      <c r="I137" s="3"/>
      <c r="J137" s="4"/>
    </row>
    <row r="138" spans="1:10" ht="15.75" customHeight="1" x14ac:dyDescent="0.2">
      <c r="A138" s="2"/>
      <c r="B138" s="2"/>
      <c r="C138" s="5"/>
      <c r="D138" s="2"/>
      <c r="E138" s="5"/>
      <c r="F138" s="6"/>
      <c r="G138" s="1"/>
      <c r="H138" s="2"/>
      <c r="I138" s="3"/>
      <c r="J138" s="4"/>
    </row>
    <row r="139" spans="1:10" ht="15.75" customHeight="1" x14ac:dyDescent="0.2">
      <c r="A139" s="2"/>
      <c r="B139" s="2"/>
      <c r="C139" s="5"/>
      <c r="D139" s="2"/>
      <c r="E139" s="5"/>
      <c r="F139" s="6"/>
      <c r="G139" s="1"/>
      <c r="H139" s="2"/>
      <c r="I139" s="3"/>
      <c r="J139" s="4"/>
    </row>
    <row r="140" spans="1:10" ht="15.75" customHeight="1" x14ac:dyDescent="0.2">
      <c r="A140" s="2"/>
      <c r="B140" s="2"/>
      <c r="C140" s="5"/>
      <c r="D140" s="2"/>
      <c r="E140" s="5"/>
      <c r="F140" s="6"/>
      <c r="G140" s="1"/>
      <c r="H140" s="2"/>
      <c r="I140" s="3"/>
      <c r="J140" s="4"/>
    </row>
    <row r="141" spans="1:10" ht="15.75" customHeight="1" x14ac:dyDescent="0.2">
      <c r="A141" s="2"/>
      <c r="B141" s="2"/>
      <c r="C141" s="5"/>
      <c r="D141" s="2"/>
      <c r="E141" s="5"/>
      <c r="F141" s="6"/>
      <c r="G141" s="1"/>
      <c r="H141" s="2"/>
      <c r="I141" s="3"/>
      <c r="J141" s="4"/>
    </row>
    <row r="142" spans="1:10" ht="15.75" customHeight="1" x14ac:dyDescent="0.2">
      <c r="A142" s="2"/>
      <c r="B142" s="2"/>
      <c r="C142" s="5"/>
      <c r="D142" s="2"/>
      <c r="E142" s="5"/>
      <c r="F142" s="6"/>
      <c r="G142" s="1"/>
      <c r="H142" s="2"/>
      <c r="I142" s="3"/>
      <c r="J142" s="4"/>
    </row>
    <row r="143" spans="1:10" ht="15.75" customHeight="1" x14ac:dyDescent="0.2">
      <c r="A143" s="2"/>
      <c r="B143" s="2"/>
      <c r="C143" s="5"/>
      <c r="D143" s="2"/>
      <c r="E143" s="5"/>
      <c r="F143" s="6"/>
      <c r="G143" s="1"/>
      <c r="H143" s="2"/>
      <c r="I143" s="3"/>
      <c r="J143" s="4"/>
    </row>
    <row r="144" spans="1:10" ht="15.75" customHeight="1" x14ac:dyDescent="0.2">
      <c r="A144" s="2"/>
      <c r="B144" s="2"/>
      <c r="C144" s="5"/>
      <c r="D144" s="2"/>
      <c r="E144" s="5"/>
      <c r="F144" s="6"/>
      <c r="G144" s="1"/>
      <c r="H144" s="2"/>
      <c r="I144" s="3"/>
      <c r="J144" s="4"/>
    </row>
    <row r="145" spans="1:10" ht="15.75" customHeight="1" x14ac:dyDescent="0.2">
      <c r="A145" s="2"/>
      <c r="B145" s="2"/>
      <c r="C145" s="5"/>
      <c r="D145" s="2"/>
      <c r="E145" s="5"/>
      <c r="F145" s="6"/>
      <c r="G145" s="1"/>
      <c r="H145" s="2"/>
      <c r="I145" s="3"/>
      <c r="J145" s="4"/>
    </row>
    <row r="146" spans="1:10" ht="15.75" customHeight="1" x14ac:dyDescent="0.2">
      <c r="A146" s="2"/>
      <c r="B146" s="2"/>
      <c r="C146" s="5"/>
      <c r="D146" s="2"/>
      <c r="E146" s="5"/>
      <c r="F146" s="6"/>
      <c r="G146" s="1"/>
      <c r="H146" s="2"/>
      <c r="I146" s="3"/>
      <c r="J146" s="4"/>
    </row>
    <row r="147" spans="1:10" ht="15.75" customHeight="1" x14ac:dyDescent="0.2">
      <c r="A147" s="2"/>
      <c r="B147" s="2"/>
      <c r="C147" s="5"/>
      <c r="D147" s="2"/>
      <c r="E147" s="5"/>
      <c r="F147" s="6"/>
      <c r="G147" s="1"/>
      <c r="H147" s="2"/>
      <c r="I147" s="3"/>
      <c r="J147" s="4"/>
    </row>
    <row r="148" spans="1:10" ht="15.75" customHeight="1" x14ac:dyDescent="0.2">
      <c r="A148" s="2"/>
      <c r="B148" s="2"/>
      <c r="C148" s="5"/>
      <c r="D148" s="2"/>
      <c r="E148" s="5"/>
      <c r="F148" s="6"/>
      <c r="G148" s="1"/>
      <c r="H148" s="2"/>
      <c r="I148" s="3"/>
      <c r="J148" s="4"/>
    </row>
    <row r="149" spans="1:10" ht="15.75" customHeight="1" x14ac:dyDescent="0.2">
      <c r="A149" s="2"/>
      <c r="B149" s="2"/>
      <c r="C149" s="5"/>
      <c r="D149" s="2"/>
      <c r="E149" s="5"/>
      <c r="F149" s="6"/>
      <c r="G149" s="1"/>
      <c r="H149" s="2"/>
      <c r="I149" s="3"/>
      <c r="J149" s="4"/>
    </row>
    <row r="150" spans="1:10" ht="15.75" customHeight="1" x14ac:dyDescent="0.2">
      <c r="A150" s="2"/>
      <c r="B150" s="2"/>
      <c r="C150" s="5"/>
      <c r="D150" s="2"/>
      <c r="E150" s="5"/>
      <c r="F150" s="6"/>
      <c r="G150" s="1"/>
      <c r="H150" s="2"/>
      <c r="I150" s="3"/>
      <c r="J150" s="4"/>
    </row>
    <row r="151" spans="1:10" ht="15.75" customHeight="1" x14ac:dyDescent="0.2">
      <c r="A151" s="2"/>
      <c r="B151" s="2"/>
      <c r="C151" s="5"/>
      <c r="D151" s="2"/>
      <c r="E151" s="5"/>
      <c r="F151" s="6"/>
      <c r="G151" s="1"/>
      <c r="H151" s="2"/>
      <c r="I151" s="3"/>
      <c r="J151" s="4"/>
    </row>
    <row r="152" spans="1:10" ht="15.75" customHeight="1" x14ac:dyDescent="0.2">
      <c r="A152" s="2"/>
      <c r="B152" s="2"/>
      <c r="C152" s="5"/>
      <c r="D152" s="2"/>
      <c r="E152" s="5"/>
      <c r="F152" s="6"/>
      <c r="G152" s="1"/>
      <c r="H152" s="2"/>
      <c r="I152" s="3"/>
      <c r="J152" s="4"/>
    </row>
    <row r="153" spans="1:10" ht="15.75" customHeight="1" x14ac:dyDescent="0.2">
      <c r="A153" s="2"/>
      <c r="B153" s="2"/>
      <c r="C153" s="5"/>
      <c r="D153" s="2"/>
      <c r="E153" s="5"/>
      <c r="F153" s="6"/>
      <c r="G153" s="1"/>
      <c r="H153" s="2"/>
      <c r="I153" s="3"/>
      <c r="J153" s="4"/>
    </row>
    <row r="154" spans="1:10" ht="15.75" customHeight="1" x14ac:dyDescent="0.2">
      <c r="A154" s="2"/>
      <c r="B154" s="2"/>
      <c r="C154" s="5"/>
      <c r="D154" s="2"/>
      <c r="E154" s="5"/>
      <c r="F154" s="6"/>
      <c r="G154" s="1"/>
      <c r="H154" s="2"/>
      <c r="I154" s="3"/>
      <c r="J154" s="4"/>
    </row>
    <row r="155" spans="1:10" ht="15.75" customHeight="1" x14ac:dyDescent="0.2">
      <c r="A155" s="2"/>
      <c r="B155" s="2"/>
      <c r="C155" s="5"/>
      <c r="D155" s="2"/>
      <c r="E155" s="5"/>
      <c r="F155" s="6"/>
      <c r="G155" s="1"/>
      <c r="H155" s="2"/>
      <c r="I155" s="3"/>
      <c r="J155" s="4"/>
    </row>
    <row r="156" spans="1:10" ht="15.75" customHeight="1" x14ac:dyDescent="0.2">
      <c r="A156" s="2"/>
      <c r="B156" s="2"/>
      <c r="C156" s="5"/>
      <c r="D156" s="2"/>
      <c r="E156" s="5"/>
      <c r="F156" s="6"/>
      <c r="G156" s="1"/>
      <c r="H156" s="2"/>
      <c r="I156" s="3"/>
      <c r="J156" s="4"/>
    </row>
    <row r="157" spans="1:10" ht="15.75" customHeight="1" x14ac:dyDescent="0.2">
      <c r="A157" s="2"/>
      <c r="B157" s="2"/>
      <c r="C157" s="5"/>
      <c r="D157" s="2"/>
      <c r="E157" s="5"/>
      <c r="F157" s="6"/>
      <c r="G157" s="1"/>
      <c r="H157" s="2"/>
      <c r="I157" s="3"/>
      <c r="J157" s="4"/>
    </row>
    <row r="158" spans="1:10" ht="15.75" customHeight="1" x14ac:dyDescent="0.2">
      <c r="A158" s="2"/>
      <c r="B158" s="2"/>
      <c r="C158" s="5"/>
      <c r="D158" s="2"/>
      <c r="E158" s="5"/>
      <c r="F158" s="6"/>
      <c r="G158" s="1"/>
      <c r="H158" s="2"/>
      <c r="I158" s="3"/>
      <c r="J158" s="4"/>
    </row>
    <row r="159" spans="1:10" ht="15.75" customHeight="1" x14ac:dyDescent="0.2">
      <c r="A159" s="2"/>
      <c r="B159" s="2"/>
      <c r="C159" s="5"/>
      <c r="D159" s="2"/>
      <c r="E159" s="5"/>
      <c r="F159" s="6"/>
      <c r="G159" s="1"/>
      <c r="H159" s="2"/>
      <c r="I159" s="3"/>
      <c r="J159" s="4"/>
    </row>
    <row r="160" spans="1:10" ht="15.75" customHeight="1" x14ac:dyDescent="0.2">
      <c r="A160" s="2"/>
      <c r="B160" s="2"/>
      <c r="C160" s="5"/>
      <c r="D160" s="2"/>
      <c r="E160" s="5"/>
      <c r="F160" s="6"/>
      <c r="G160" s="1"/>
      <c r="H160" s="2"/>
      <c r="I160" s="3"/>
      <c r="J160" s="4"/>
    </row>
    <row r="161" spans="1:10" ht="15.75" customHeight="1" x14ac:dyDescent="0.2">
      <c r="A161" s="2"/>
      <c r="B161" s="2"/>
      <c r="C161" s="5"/>
      <c r="D161" s="2"/>
      <c r="E161" s="5"/>
      <c r="F161" s="6"/>
      <c r="G161" s="1"/>
      <c r="H161" s="2"/>
      <c r="I161" s="3"/>
      <c r="J161" s="4"/>
    </row>
    <row r="162" spans="1:10" ht="15.75" customHeight="1" x14ac:dyDescent="0.2">
      <c r="A162" s="2"/>
      <c r="B162" s="2"/>
      <c r="C162" s="5"/>
      <c r="D162" s="2"/>
      <c r="E162" s="5"/>
      <c r="F162" s="6"/>
      <c r="G162" s="1"/>
      <c r="H162" s="2"/>
      <c r="I162" s="3"/>
      <c r="J162" s="4"/>
    </row>
    <row r="163" spans="1:10" ht="15.75" customHeight="1" x14ac:dyDescent="0.2">
      <c r="A163" s="2"/>
      <c r="B163" s="2"/>
      <c r="C163" s="5"/>
      <c r="D163" s="2"/>
      <c r="E163" s="5"/>
      <c r="F163" s="6"/>
      <c r="G163" s="1"/>
      <c r="H163" s="2"/>
      <c r="I163" s="3"/>
      <c r="J163" s="4"/>
    </row>
    <row r="164" spans="1:10" ht="15.75" customHeight="1" x14ac:dyDescent="0.2">
      <c r="A164" s="2"/>
      <c r="B164" s="2"/>
      <c r="C164" s="5"/>
      <c r="D164" s="2"/>
      <c r="E164" s="5"/>
      <c r="F164" s="6"/>
      <c r="G164" s="1"/>
      <c r="H164" s="2"/>
      <c r="I164" s="3"/>
      <c r="J164" s="4"/>
    </row>
    <row r="165" spans="1:10" ht="15.75" customHeight="1" x14ac:dyDescent="0.2">
      <c r="A165" s="2"/>
      <c r="B165" s="2"/>
      <c r="C165" s="5"/>
      <c r="D165" s="2"/>
      <c r="E165" s="5"/>
      <c r="F165" s="6"/>
      <c r="G165" s="1"/>
      <c r="H165" s="2"/>
      <c r="I165" s="3"/>
      <c r="J165" s="4"/>
    </row>
    <row r="166" spans="1:10" ht="15.75" customHeight="1" x14ac:dyDescent="0.2">
      <c r="A166" s="2"/>
      <c r="B166" s="2"/>
      <c r="C166" s="5"/>
      <c r="D166" s="2"/>
      <c r="E166" s="5"/>
      <c r="F166" s="6"/>
      <c r="G166" s="1"/>
      <c r="H166" s="2"/>
      <c r="I166" s="3"/>
      <c r="J166" s="4"/>
    </row>
    <row r="167" spans="1:10" ht="15.75" customHeight="1" x14ac:dyDescent="0.2">
      <c r="A167" s="2"/>
      <c r="B167" s="2"/>
      <c r="C167" s="5"/>
      <c r="D167" s="2"/>
      <c r="E167" s="5"/>
      <c r="F167" s="6"/>
      <c r="G167" s="1"/>
      <c r="H167" s="2"/>
      <c r="I167" s="3"/>
      <c r="J167" s="4"/>
    </row>
    <row r="168" spans="1:10" ht="15.75" customHeight="1" x14ac:dyDescent="0.2">
      <c r="A168" s="2"/>
      <c r="B168" s="2"/>
      <c r="C168" s="5"/>
      <c r="D168" s="2"/>
      <c r="E168" s="5"/>
      <c r="F168" s="6"/>
      <c r="G168" s="1"/>
      <c r="H168" s="2"/>
      <c r="I168" s="3"/>
      <c r="J168" s="4"/>
    </row>
    <row r="169" spans="1:10" ht="15.75" customHeight="1" x14ac:dyDescent="0.2">
      <c r="A169" s="2"/>
      <c r="B169" s="2"/>
      <c r="C169" s="5"/>
      <c r="D169" s="2"/>
      <c r="E169" s="5"/>
      <c r="F169" s="6"/>
      <c r="G169" s="1"/>
      <c r="H169" s="2"/>
      <c r="I169" s="3"/>
      <c r="J169" s="4"/>
    </row>
    <row r="170" spans="1:10" ht="15.75" customHeight="1" x14ac:dyDescent="0.2">
      <c r="A170" s="2"/>
      <c r="B170" s="2"/>
      <c r="C170" s="5"/>
      <c r="D170" s="2"/>
      <c r="E170" s="5"/>
      <c r="F170" s="6"/>
      <c r="G170" s="1"/>
      <c r="H170" s="2"/>
      <c r="I170" s="3"/>
      <c r="J170" s="4"/>
    </row>
    <row r="171" spans="1:10" ht="15.75" customHeight="1" x14ac:dyDescent="0.2">
      <c r="A171" s="2"/>
      <c r="B171" s="2"/>
      <c r="C171" s="5"/>
      <c r="D171" s="2"/>
      <c r="E171" s="5"/>
      <c r="F171" s="6"/>
      <c r="G171" s="1"/>
      <c r="H171" s="2"/>
      <c r="I171" s="3"/>
      <c r="J171" s="4"/>
    </row>
    <row r="172" spans="1:10" ht="15.75" customHeight="1" x14ac:dyDescent="0.2">
      <c r="A172" s="2"/>
      <c r="B172" s="2"/>
      <c r="C172" s="5"/>
      <c r="D172" s="2"/>
      <c r="E172" s="5"/>
      <c r="F172" s="6"/>
      <c r="G172" s="1"/>
      <c r="H172" s="2"/>
      <c r="I172" s="3"/>
      <c r="J172" s="4"/>
    </row>
    <row r="173" spans="1:10" ht="15.75" customHeight="1" x14ac:dyDescent="0.2">
      <c r="A173" s="2"/>
      <c r="B173" s="2"/>
      <c r="C173" s="5"/>
      <c r="D173" s="2"/>
      <c r="E173" s="5"/>
      <c r="F173" s="6"/>
      <c r="G173" s="1"/>
      <c r="H173" s="2"/>
      <c r="I173" s="3"/>
      <c r="J173" s="4"/>
    </row>
    <row r="174" spans="1:10" ht="15.75" customHeight="1" x14ac:dyDescent="0.2">
      <c r="A174" s="2"/>
      <c r="B174" s="2"/>
      <c r="C174" s="5"/>
      <c r="D174" s="2"/>
      <c r="E174" s="5"/>
      <c r="F174" s="6"/>
      <c r="G174" s="1"/>
      <c r="H174" s="2"/>
      <c r="I174" s="3"/>
      <c r="J174" s="4"/>
    </row>
    <row r="175" spans="1:10" ht="15.75" customHeight="1" x14ac:dyDescent="0.2">
      <c r="A175" s="2"/>
      <c r="B175" s="2"/>
      <c r="C175" s="5"/>
      <c r="D175" s="2"/>
      <c r="E175" s="5"/>
      <c r="F175" s="6"/>
      <c r="G175" s="1"/>
      <c r="H175" s="2"/>
      <c r="I175" s="3"/>
      <c r="J175" s="4"/>
    </row>
    <row r="176" spans="1:10" ht="15.75" customHeight="1" x14ac:dyDescent="0.2">
      <c r="A176" s="2"/>
      <c r="B176" s="2"/>
      <c r="C176" s="5"/>
      <c r="D176" s="2"/>
      <c r="E176" s="5"/>
      <c r="F176" s="6"/>
      <c r="G176" s="1"/>
      <c r="H176" s="2"/>
      <c r="I176" s="3"/>
      <c r="J176" s="4"/>
    </row>
    <row r="177" spans="1:10" ht="15.75" customHeight="1" x14ac:dyDescent="0.2">
      <c r="A177" s="2"/>
      <c r="B177" s="2"/>
      <c r="C177" s="5"/>
      <c r="D177" s="2"/>
      <c r="E177" s="5"/>
      <c r="F177" s="6"/>
      <c r="G177" s="1"/>
      <c r="H177" s="2"/>
      <c r="I177" s="3"/>
      <c r="J177" s="4"/>
    </row>
    <row r="178" spans="1:10" ht="15.75" customHeight="1" x14ac:dyDescent="0.2">
      <c r="A178" s="2"/>
      <c r="B178" s="2"/>
      <c r="C178" s="5"/>
      <c r="D178" s="2"/>
      <c r="E178" s="5"/>
      <c r="F178" s="6"/>
      <c r="G178" s="1"/>
      <c r="H178" s="2"/>
      <c r="I178" s="3"/>
      <c r="J178" s="4"/>
    </row>
    <row r="179" spans="1:10" ht="15.75" customHeight="1" x14ac:dyDescent="0.2">
      <c r="A179" s="2"/>
      <c r="B179" s="2"/>
      <c r="C179" s="5"/>
      <c r="D179" s="2"/>
      <c r="E179" s="5"/>
      <c r="F179" s="6"/>
      <c r="G179" s="1"/>
      <c r="H179" s="2"/>
      <c r="I179" s="3"/>
      <c r="J179" s="4"/>
    </row>
    <row r="180" spans="1:10" ht="15.75" customHeight="1" x14ac:dyDescent="0.2">
      <c r="A180" s="2"/>
      <c r="B180" s="2"/>
      <c r="C180" s="5"/>
      <c r="D180" s="2"/>
      <c r="E180" s="5"/>
      <c r="F180" s="6"/>
      <c r="G180" s="1"/>
      <c r="H180" s="2"/>
      <c r="I180" s="3"/>
      <c r="J180" s="4"/>
    </row>
    <row r="181" spans="1:10" ht="15.75" customHeight="1" x14ac:dyDescent="0.2">
      <c r="A181" s="2"/>
      <c r="B181" s="2"/>
      <c r="C181" s="5"/>
      <c r="D181" s="2"/>
      <c r="E181" s="5"/>
      <c r="F181" s="6"/>
      <c r="G181" s="1"/>
      <c r="H181" s="2"/>
      <c r="I181" s="3"/>
      <c r="J181" s="4"/>
    </row>
    <row r="182" spans="1:10" ht="15.75" customHeight="1" x14ac:dyDescent="0.2">
      <c r="A182" s="2"/>
      <c r="B182" s="2"/>
      <c r="C182" s="5"/>
      <c r="D182" s="2"/>
      <c r="E182" s="5"/>
      <c r="F182" s="6"/>
      <c r="G182" s="1"/>
      <c r="H182" s="2"/>
      <c r="I182" s="3"/>
      <c r="J182" s="4"/>
    </row>
    <row r="183" spans="1:10" ht="15.75" customHeight="1" x14ac:dyDescent="0.2">
      <c r="A183" s="2"/>
      <c r="B183" s="2"/>
      <c r="C183" s="5"/>
      <c r="D183" s="2"/>
      <c r="E183" s="5"/>
      <c r="F183" s="6"/>
      <c r="G183" s="1"/>
      <c r="H183" s="2"/>
      <c r="I183" s="3"/>
      <c r="J183" s="4"/>
    </row>
    <row r="184" spans="1:10" ht="15.75" customHeight="1" x14ac:dyDescent="0.2">
      <c r="A184" s="2"/>
      <c r="B184" s="2"/>
      <c r="C184" s="5"/>
      <c r="D184" s="2"/>
      <c r="E184" s="5"/>
      <c r="F184" s="6"/>
      <c r="G184" s="1"/>
      <c r="H184" s="2"/>
      <c r="I184" s="3"/>
      <c r="J184" s="4"/>
    </row>
    <row r="185" spans="1:10" ht="15.75" customHeight="1" x14ac:dyDescent="0.2">
      <c r="A185" s="2"/>
      <c r="B185" s="2"/>
      <c r="C185" s="5"/>
      <c r="D185" s="2"/>
      <c r="E185" s="5"/>
      <c r="F185" s="6"/>
      <c r="G185" s="1"/>
      <c r="H185" s="2"/>
      <c r="I185" s="3"/>
      <c r="J185" s="4"/>
    </row>
    <row r="186" spans="1:10" ht="15.75" customHeight="1" x14ac:dyDescent="0.2">
      <c r="A186" s="2"/>
      <c r="B186" s="2"/>
      <c r="C186" s="5"/>
      <c r="D186" s="2"/>
      <c r="E186" s="5"/>
      <c r="F186" s="6"/>
      <c r="G186" s="1"/>
      <c r="H186" s="2"/>
      <c r="I186" s="3"/>
      <c r="J186" s="4"/>
    </row>
    <row r="187" spans="1:10" ht="15.75" customHeight="1" x14ac:dyDescent="0.2">
      <c r="A187" s="2"/>
      <c r="B187" s="2"/>
      <c r="C187" s="5"/>
      <c r="D187" s="2"/>
      <c r="E187" s="5"/>
      <c r="F187" s="6"/>
      <c r="G187" s="1"/>
      <c r="H187" s="2"/>
      <c r="I187" s="3"/>
      <c r="J187" s="4"/>
    </row>
    <row r="188" spans="1:10" ht="15.75" customHeight="1" x14ac:dyDescent="0.2">
      <c r="A188" s="2"/>
      <c r="B188" s="2"/>
      <c r="C188" s="5"/>
      <c r="D188" s="2"/>
      <c r="E188" s="5"/>
      <c r="F188" s="6"/>
      <c r="G188" s="1"/>
      <c r="H188" s="2"/>
      <c r="I188" s="3"/>
      <c r="J188" s="4"/>
    </row>
    <row r="189" spans="1:10" ht="15.75" customHeight="1" x14ac:dyDescent="0.2">
      <c r="A189" s="2"/>
      <c r="B189" s="2"/>
      <c r="C189" s="5"/>
      <c r="D189" s="2"/>
      <c r="E189" s="5"/>
      <c r="F189" s="6"/>
      <c r="G189" s="1"/>
      <c r="H189" s="2"/>
      <c r="I189" s="3"/>
      <c r="J189" s="4"/>
    </row>
    <row r="190" spans="1:10" ht="15.75" customHeight="1" x14ac:dyDescent="0.2">
      <c r="A190" s="2"/>
      <c r="B190" s="2"/>
      <c r="C190" s="5"/>
      <c r="D190" s="2"/>
      <c r="E190" s="5"/>
      <c r="F190" s="6"/>
      <c r="G190" s="1"/>
      <c r="H190" s="2"/>
      <c r="I190" s="3"/>
      <c r="J190" s="4"/>
    </row>
    <row r="191" spans="1:10" ht="15.75" customHeight="1" x14ac:dyDescent="0.2">
      <c r="A191" s="2"/>
      <c r="B191" s="2"/>
      <c r="C191" s="5"/>
      <c r="D191" s="2"/>
      <c r="E191" s="5"/>
      <c r="F191" s="6"/>
      <c r="G191" s="1"/>
      <c r="H191" s="2"/>
      <c r="I191" s="3"/>
      <c r="J191" s="4"/>
    </row>
    <row r="192" spans="1:10" ht="15.75" customHeight="1" x14ac:dyDescent="0.2">
      <c r="A192" s="2"/>
      <c r="B192" s="2"/>
      <c r="C192" s="5"/>
      <c r="D192" s="2"/>
      <c r="E192" s="5"/>
      <c r="F192" s="6"/>
      <c r="G192" s="1"/>
      <c r="H192" s="2"/>
      <c r="I192" s="3"/>
      <c r="J192" s="4"/>
    </row>
    <row r="193" spans="1:10" ht="15.75" customHeight="1" x14ac:dyDescent="0.2">
      <c r="A193" s="2"/>
      <c r="B193" s="2"/>
      <c r="C193" s="5"/>
      <c r="D193" s="2"/>
      <c r="E193" s="5"/>
      <c r="F193" s="6"/>
      <c r="G193" s="1"/>
      <c r="H193" s="2"/>
      <c r="I193" s="3"/>
      <c r="J193" s="4"/>
    </row>
    <row r="194" spans="1:10" ht="15.75" customHeight="1" x14ac:dyDescent="0.2">
      <c r="A194" s="2"/>
      <c r="B194" s="2"/>
      <c r="C194" s="5"/>
      <c r="D194" s="2"/>
      <c r="E194" s="5"/>
      <c r="F194" s="6"/>
      <c r="G194" s="1"/>
      <c r="H194" s="2"/>
      <c r="I194" s="3"/>
      <c r="J194" s="4"/>
    </row>
    <row r="195" spans="1:10" ht="15.75" customHeight="1" x14ac:dyDescent="0.2">
      <c r="A195" s="2"/>
      <c r="B195" s="2"/>
      <c r="C195" s="5"/>
      <c r="D195" s="2"/>
      <c r="E195" s="5"/>
      <c r="F195" s="6"/>
      <c r="G195" s="1"/>
      <c r="H195" s="2"/>
      <c r="I195" s="3"/>
      <c r="J195" s="4"/>
    </row>
    <row r="196" spans="1:10" ht="15.75" customHeight="1" x14ac:dyDescent="0.2">
      <c r="A196" s="2"/>
      <c r="B196" s="2"/>
      <c r="C196" s="5"/>
      <c r="D196" s="2"/>
      <c r="E196" s="5"/>
      <c r="F196" s="6"/>
      <c r="G196" s="1"/>
      <c r="H196" s="2"/>
      <c r="I196" s="3"/>
      <c r="J196" s="4"/>
    </row>
    <row r="197" spans="1:10" ht="15.75" customHeight="1" x14ac:dyDescent="0.2">
      <c r="A197" s="2"/>
      <c r="B197" s="2"/>
      <c r="C197" s="5"/>
      <c r="D197" s="2"/>
      <c r="E197" s="5"/>
      <c r="F197" s="6"/>
      <c r="G197" s="1"/>
      <c r="H197" s="2"/>
      <c r="I197" s="3"/>
      <c r="J197" s="4"/>
    </row>
    <row r="198" spans="1:10" ht="15.75" customHeight="1" x14ac:dyDescent="0.2">
      <c r="A198" s="2"/>
      <c r="B198" s="2"/>
      <c r="C198" s="5"/>
      <c r="D198" s="2"/>
      <c r="E198" s="5"/>
      <c r="F198" s="6"/>
      <c r="G198" s="1"/>
      <c r="H198" s="2"/>
      <c r="I198" s="3"/>
      <c r="J198" s="4"/>
    </row>
    <row r="199" spans="1:10" ht="15.75" customHeight="1" x14ac:dyDescent="0.2">
      <c r="A199" s="2"/>
      <c r="B199" s="2"/>
      <c r="C199" s="5"/>
      <c r="D199" s="2"/>
      <c r="E199" s="5"/>
      <c r="F199" s="6"/>
      <c r="G199" s="1"/>
      <c r="H199" s="2"/>
      <c r="I199" s="3"/>
      <c r="J199" s="4"/>
    </row>
    <row r="200" spans="1:10" ht="15.75" customHeight="1" x14ac:dyDescent="0.2">
      <c r="A200" s="2"/>
      <c r="B200" s="2"/>
      <c r="C200" s="5"/>
      <c r="D200" s="2"/>
      <c r="E200" s="5"/>
      <c r="F200" s="6"/>
      <c r="G200" s="1"/>
      <c r="H200" s="2"/>
      <c r="I200" s="3"/>
      <c r="J200" s="4"/>
    </row>
    <row r="201" spans="1:10" ht="15.75" customHeight="1" x14ac:dyDescent="0.2">
      <c r="A201" s="2"/>
      <c r="B201" s="2"/>
      <c r="C201" s="5"/>
      <c r="D201" s="2"/>
      <c r="E201" s="5"/>
      <c r="F201" s="6"/>
      <c r="G201" s="1"/>
      <c r="H201" s="2"/>
      <c r="I201" s="3"/>
      <c r="J201" s="4"/>
    </row>
    <row r="202" spans="1:10" ht="15.75" customHeight="1" x14ac:dyDescent="0.2">
      <c r="A202" s="2"/>
      <c r="B202" s="2"/>
      <c r="C202" s="5"/>
      <c r="D202" s="2"/>
      <c r="E202" s="5"/>
      <c r="F202" s="6"/>
      <c r="G202" s="1"/>
      <c r="H202" s="2"/>
      <c r="I202" s="3"/>
      <c r="J202" s="4"/>
    </row>
    <row r="203" spans="1:10" ht="15.75" customHeight="1" x14ac:dyDescent="0.2">
      <c r="A203" s="2"/>
      <c r="B203" s="2"/>
      <c r="C203" s="5"/>
      <c r="D203" s="2"/>
      <c r="E203" s="5"/>
      <c r="F203" s="6"/>
      <c r="G203" s="1"/>
      <c r="H203" s="2"/>
      <c r="I203" s="3"/>
      <c r="J203" s="4"/>
    </row>
    <row r="204" spans="1:10" ht="15.75" customHeight="1" x14ac:dyDescent="0.2">
      <c r="A204" s="2"/>
      <c r="B204" s="2"/>
      <c r="C204" s="5"/>
      <c r="D204" s="2"/>
      <c r="E204" s="5"/>
      <c r="F204" s="6"/>
      <c r="G204" s="1"/>
      <c r="H204" s="2"/>
      <c r="I204" s="3"/>
      <c r="J204" s="4"/>
    </row>
    <row r="205" spans="1:10" ht="15.75" customHeight="1" x14ac:dyDescent="0.2">
      <c r="A205" s="2"/>
      <c r="B205" s="2"/>
      <c r="C205" s="5"/>
      <c r="D205" s="2"/>
      <c r="E205" s="5"/>
      <c r="F205" s="6"/>
      <c r="G205" s="1"/>
      <c r="H205" s="2"/>
      <c r="I205" s="3"/>
      <c r="J205" s="4"/>
    </row>
    <row r="206" spans="1:10" ht="15.75" customHeight="1" x14ac:dyDescent="0.2">
      <c r="A206" s="2"/>
      <c r="B206" s="2"/>
      <c r="C206" s="5"/>
      <c r="D206" s="2"/>
      <c r="E206" s="5"/>
      <c r="F206" s="6"/>
      <c r="G206" s="1"/>
      <c r="H206" s="2"/>
      <c r="I206" s="3"/>
      <c r="J206" s="4"/>
    </row>
    <row r="207" spans="1:10" ht="15.75" customHeight="1" x14ac:dyDescent="0.2">
      <c r="A207" s="2"/>
      <c r="B207" s="2"/>
      <c r="C207" s="5"/>
      <c r="D207" s="2"/>
      <c r="E207" s="5"/>
      <c r="F207" s="6"/>
      <c r="G207" s="1"/>
      <c r="H207" s="2"/>
      <c r="I207" s="3"/>
      <c r="J207" s="4"/>
    </row>
    <row r="208" spans="1:10" ht="15.75" customHeight="1" x14ac:dyDescent="0.2">
      <c r="A208" s="2"/>
      <c r="B208" s="2"/>
      <c r="C208" s="5"/>
      <c r="D208" s="2"/>
      <c r="E208" s="5"/>
      <c r="F208" s="6"/>
      <c r="G208" s="1"/>
      <c r="H208" s="2"/>
      <c r="I208" s="3"/>
      <c r="J208" s="4"/>
    </row>
    <row r="209" spans="1:10" ht="15.75" customHeight="1" x14ac:dyDescent="0.2">
      <c r="A209" s="2"/>
      <c r="B209" s="2"/>
      <c r="C209" s="5"/>
      <c r="D209" s="2"/>
      <c r="E209" s="5"/>
      <c r="F209" s="6"/>
      <c r="G209" s="1"/>
      <c r="H209" s="2"/>
      <c r="I209" s="3"/>
      <c r="J209" s="4"/>
    </row>
    <row r="210" spans="1:10" ht="15.75" customHeight="1" x14ac:dyDescent="0.2">
      <c r="A210" s="2"/>
      <c r="B210" s="2"/>
      <c r="C210" s="5"/>
      <c r="D210" s="2"/>
      <c r="E210" s="5"/>
      <c r="F210" s="6"/>
      <c r="G210" s="1"/>
      <c r="H210" s="2"/>
      <c r="I210" s="3"/>
      <c r="J210" s="4"/>
    </row>
    <row r="211" spans="1:10" ht="15.75" customHeight="1" x14ac:dyDescent="0.2">
      <c r="A211" s="2"/>
      <c r="B211" s="2"/>
      <c r="C211" s="5"/>
      <c r="D211" s="2"/>
      <c r="E211" s="5"/>
      <c r="F211" s="6"/>
      <c r="G211" s="1"/>
      <c r="H211" s="2"/>
      <c r="I211" s="3"/>
      <c r="J211" s="4"/>
    </row>
    <row r="212" spans="1:10" ht="15.75" customHeight="1" x14ac:dyDescent="0.2">
      <c r="A212" s="2"/>
      <c r="B212" s="2"/>
      <c r="C212" s="5"/>
      <c r="D212" s="2"/>
      <c r="E212" s="5"/>
      <c r="F212" s="6"/>
      <c r="G212" s="1"/>
      <c r="H212" s="2"/>
      <c r="I212" s="3"/>
      <c r="J212" s="4"/>
    </row>
    <row r="213" spans="1:10" ht="15.75" customHeight="1" x14ac:dyDescent="0.2">
      <c r="A213" s="2"/>
      <c r="B213" s="2"/>
      <c r="C213" s="5"/>
      <c r="D213" s="2"/>
      <c r="E213" s="5"/>
      <c r="F213" s="6"/>
      <c r="G213" s="1"/>
      <c r="H213" s="2"/>
      <c r="I213" s="3"/>
      <c r="J213" s="4"/>
    </row>
    <row r="214" spans="1:10" ht="15.75" customHeight="1" x14ac:dyDescent="0.2">
      <c r="A214" s="2"/>
      <c r="B214" s="2"/>
      <c r="C214" s="5"/>
      <c r="D214" s="2"/>
      <c r="E214" s="5"/>
      <c r="F214" s="6"/>
      <c r="G214" s="1"/>
      <c r="H214" s="2"/>
      <c r="I214" s="3"/>
      <c r="J214" s="4"/>
    </row>
    <row r="215" spans="1:10" ht="15.75" customHeight="1" x14ac:dyDescent="0.2">
      <c r="A215" s="2"/>
      <c r="B215" s="2"/>
      <c r="C215" s="5"/>
      <c r="D215" s="2"/>
      <c r="E215" s="5"/>
      <c r="F215" s="6"/>
      <c r="G215" s="1"/>
      <c r="H215" s="2"/>
      <c r="I215" s="3"/>
      <c r="J215" s="4"/>
    </row>
    <row r="216" spans="1:10" ht="15.75" customHeight="1" x14ac:dyDescent="0.2">
      <c r="A216" s="2"/>
      <c r="B216" s="2"/>
      <c r="C216" s="5"/>
      <c r="D216" s="2"/>
      <c r="E216" s="5"/>
      <c r="F216" s="6"/>
      <c r="G216" s="1"/>
      <c r="H216" s="2"/>
      <c r="I216" s="3"/>
      <c r="J216" s="4"/>
    </row>
    <row r="217" spans="1:10" ht="15.75" customHeight="1" x14ac:dyDescent="0.2">
      <c r="A217" s="2"/>
      <c r="B217" s="2"/>
      <c r="C217" s="5"/>
      <c r="D217" s="2"/>
      <c r="E217" s="5"/>
      <c r="F217" s="6"/>
      <c r="G217" s="1"/>
      <c r="H217" s="2"/>
      <c r="I217" s="3"/>
      <c r="J217" s="4"/>
    </row>
    <row r="218" spans="1:10" ht="15.75" customHeight="1" x14ac:dyDescent="0.2">
      <c r="A218" s="2"/>
      <c r="B218" s="2"/>
      <c r="C218" s="5"/>
      <c r="D218" s="2"/>
      <c r="E218" s="5"/>
      <c r="F218" s="6"/>
      <c r="G218" s="1"/>
      <c r="H218" s="2"/>
      <c r="I218" s="3"/>
      <c r="J218" s="4"/>
    </row>
    <row r="219" spans="1:10" ht="15.75" customHeight="1" x14ac:dyDescent="0.2">
      <c r="A219" s="2"/>
      <c r="B219" s="2"/>
      <c r="C219" s="5"/>
      <c r="D219" s="2"/>
      <c r="E219" s="5"/>
      <c r="F219" s="6"/>
      <c r="G219" s="1"/>
      <c r="H219" s="2"/>
      <c r="I219" s="3"/>
      <c r="J219" s="4"/>
    </row>
    <row r="220" spans="1:10" ht="15.75" customHeight="1" x14ac:dyDescent="0.2">
      <c r="A220" s="2"/>
      <c r="B220" s="2"/>
      <c r="C220" s="5"/>
      <c r="D220" s="2"/>
      <c r="E220" s="5"/>
      <c r="F220" s="6"/>
      <c r="G220" s="1"/>
      <c r="H220" s="2"/>
      <c r="I220" s="3"/>
      <c r="J220" s="4"/>
    </row>
    <row r="221" spans="1:10" ht="15.75" customHeight="1" x14ac:dyDescent="0.2">
      <c r="A221" s="2"/>
      <c r="B221" s="2"/>
      <c r="C221" s="5"/>
      <c r="D221" s="2"/>
      <c r="E221" s="5"/>
      <c r="F221" s="6"/>
      <c r="G221" s="1"/>
      <c r="H221" s="2"/>
      <c r="I221" s="3"/>
      <c r="J221" s="4"/>
    </row>
    <row r="222" spans="1:10" ht="15.75" customHeight="1" x14ac:dyDescent="0.2">
      <c r="A222" s="2"/>
      <c r="B222" s="2"/>
      <c r="C222" s="5"/>
      <c r="D222" s="2"/>
      <c r="E222" s="5"/>
      <c r="F222" s="6"/>
      <c r="G222" s="1"/>
      <c r="H222" s="2"/>
      <c r="I222" s="3"/>
      <c r="J222" s="4"/>
    </row>
    <row r="223" spans="1:10" ht="15.75" customHeight="1" x14ac:dyDescent="0.2">
      <c r="A223" s="2"/>
      <c r="B223" s="2"/>
      <c r="C223" s="5"/>
      <c r="D223" s="2"/>
      <c r="E223" s="5"/>
      <c r="F223" s="6"/>
      <c r="G223" s="1"/>
      <c r="H223" s="2"/>
      <c r="I223" s="3"/>
      <c r="J223" s="4"/>
    </row>
    <row r="224" spans="1:10" ht="15.75" customHeight="1" x14ac:dyDescent="0.2">
      <c r="A224" s="2"/>
      <c r="B224" s="2"/>
      <c r="C224" s="5"/>
      <c r="D224" s="2"/>
      <c r="E224" s="5"/>
      <c r="F224" s="6"/>
      <c r="G224" s="1"/>
      <c r="H224" s="2"/>
      <c r="I224" s="3"/>
      <c r="J224" s="4"/>
    </row>
    <row r="225" spans="1:10" ht="15.75" customHeight="1" x14ac:dyDescent="0.2">
      <c r="A225" s="2"/>
      <c r="B225" s="2"/>
      <c r="C225" s="5"/>
      <c r="D225" s="2"/>
      <c r="E225" s="5"/>
      <c r="F225" s="6"/>
      <c r="G225" s="1"/>
      <c r="H225" s="2"/>
      <c r="I225" s="3"/>
      <c r="J225" s="4"/>
    </row>
    <row r="226" spans="1:10" ht="15.75" customHeight="1" x14ac:dyDescent="0.2">
      <c r="A226" s="2"/>
      <c r="B226" s="2"/>
      <c r="C226" s="5"/>
      <c r="D226" s="2"/>
      <c r="E226" s="5"/>
      <c r="F226" s="6"/>
      <c r="G226" s="1"/>
      <c r="H226" s="2"/>
      <c r="I226" s="3"/>
      <c r="J226" s="4"/>
    </row>
    <row r="227" spans="1:10" ht="15.75" customHeight="1" x14ac:dyDescent="0.2"/>
    <row r="228" spans="1:10" ht="15.75" customHeight="1" x14ac:dyDescent="0.2"/>
    <row r="229" spans="1:10" ht="15.75" customHeight="1" x14ac:dyDescent="0.2"/>
    <row r="230" spans="1:10" ht="15.75" customHeight="1" x14ac:dyDescent="0.2"/>
    <row r="231" spans="1:10" ht="15.75" customHeight="1" x14ac:dyDescent="0.2"/>
    <row r="232" spans="1:10" ht="15.75" customHeight="1" x14ac:dyDescent="0.2"/>
    <row r="233" spans="1:10" ht="15.75" customHeight="1" x14ac:dyDescent="0.2"/>
    <row r="234" spans="1:10" ht="15.75" customHeight="1" x14ac:dyDescent="0.2"/>
    <row r="235" spans="1:10" ht="15.75" customHeight="1" x14ac:dyDescent="0.2"/>
    <row r="236" spans="1:10" ht="15.75" customHeight="1" x14ac:dyDescent="0.2"/>
    <row r="237" spans="1:10" ht="15.75" customHeight="1" x14ac:dyDescent="0.2"/>
    <row r="238" spans="1:10" ht="15.75" customHeight="1" x14ac:dyDescent="0.2"/>
    <row r="239" spans="1:10" ht="15.75" customHeight="1" x14ac:dyDescent="0.2"/>
    <row r="240" spans="1:1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7">
    <mergeCell ref="J6:J7"/>
    <mergeCell ref="A26:D26"/>
    <mergeCell ref="A1:F1"/>
    <mergeCell ref="A2:F2"/>
    <mergeCell ref="G6:G7"/>
    <mergeCell ref="H6:H7"/>
    <mergeCell ref="I6:I7"/>
  </mergeCells>
  <hyperlinks>
    <hyperlink ref="H6" r:id="rId1" xr:uid="{00000000-0004-0000-0000-000000000000}"/>
    <hyperlink ref="H9" r:id="rId2" xr:uid="{00000000-0004-0000-0000-000001000000}"/>
    <hyperlink ref="H10" r:id="rId3" xr:uid="{00000000-0004-0000-0000-000002000000}"/>
    <hyperlink ref="H12" r:id="rId4" xr:uid="{00000000-0004-0000-0000-000003000000}"/>
    <hyperlink ref="H14" r:id="rId5" xr:uid="{00000000-0004-0000-0000-000004000000}"/>
    <hyperlink ref="H18" r:id="rId6" xr:uid="{00000000-0004-0000-0000-000005000000}"/>
  </hyperlinks>
  <printOptions horizontalCentered="1" gridLines="1"/>
  <pageMargins left="0.7" right="0.7" top="0.75" bottom="0.75" header="0" footer="0"/>
  <pageSetup paperSize="9" fitToHeight="0"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DAC05-C515-4765-A62C-EEDCF72113B0}">
  <dimension ref="A1:S61"/>
  <sheetViews>
    <sheetView workbookViewId="0">
      <selection activeCell="J17" sqref="J17"/>
    </sheetView>
  </sheetViews>
  <sheetFormatPr defaultRowHeight="12.75" x14ac:dyDescent="0.2"/>
  <cols>
    <col min="2" max="2" width="19" customWidth="1"/>
    <col min="4" max="4" width="20.7109375" customWidth="1"/>
    <col min="17" max="17" width="27.5703125" customWidth="1"/>
    <col min="18" max="18" width="27.28515625" customWidth="1"/>
  </cols>
  <sheetData>
    <row r="1" spans="1:19" x14ac:dyDescent="0.2">
      <c r="A1" s="41" t="s">
        <v>131</v>
      </c>
      <c r="B1" s="41" t="s">
        <v>72</v>
      </c>
      <c r="C1" s="41" t="s">
        <v>132</v>
      </c>
      <c r="D1" s="41" t="s">
        <v>133</v>
      </c>
      <c r="E1" s="41" t="s">
        <v>134</v>
      </c>
      <c r="F1" s="41" t="s">
        <v>53</v>
      </c>
      <c r="G1" s="41">
        <v>4</v>
      </c>
      <c r="H1" s="41">
        <v>4</v>
      </c>
      <c r="I1" s="41">
        <v>4</v>
      </c>
      <c r="J1" s="41">
        <v>4</v>
      </c>
      <c r="K1" s="41">
        <v>4</v>
      </c>
      <c r="L1" s="41">
        <v>4</v>
      </c>
      <c r="M1" s="41">
        <v>4</v>
      </c>
      <c r="N1" s="41">
        <v>4</v>
      </c>
      <c r="O1" s="41">
        <v>4</v>
      </c>
      <c r="P1" s="41">
        <v>4</v>
      </c>
      <c r="Q1" s="41" t="s">
        <v>135</v>
      </c>
      <c r="R1" s="41"/>
      <c r="S1" s="42" t="s">
        <v>136</v>
      </c>
    </row>
    <row r="2" spans="1:19" x14ac:dyDescent="0.2">
      <c r="A2" s="43" t="s">
        <v>137</v>
      </c>
      <c r="B2" s="43" t="s">
        <v>138</v>
      </c>
      <c r="C2" s="43" t="s">
        <v>132</v>
      </c>
      <c r="D2" s="43" t="s">
        <v>95</v>
      </c>
      <c r="E2" s="43" t="s">
        <v>139</v>
      </c>
      <c r="F2" s="43" t="s">
        <v>92</v>
      </c>
      <c r="G2" s="43">
        <v>4</v>
      </c>
      <c r="H2" s="43">
        <v>4</v>
      </c>
      <c r="I2" s="43">
        <v>4</v>
      </c>
      <c r="J2" s="43">
        <v>4</v>
      </c>
      <c r="K2" s="43">
        <v>4</v>
      </c>
      <c r="L2" s="43">
        <v>4</v>
      </c>
      <c r="M2" s="43">
        <v>4</v>
      </c>
      <c r="N2" s="43">
        <v>4</v>
      </c>
      <c r="O2" s="43">
        <v>4</v>
      </c>
      <c r="P2" s="43">
        <v>4</v>
      </c>
      <c r="Q2" s="43" t="s">
        <v>140</v>
      </c>
      <c r="R2" s="43" t="s">
        <v>141</v>
      </c>
      <c r="S2" s="44" t="s">
        <v>142</v>
      </c>
    </row>
    <row r="3" spans="1:19" x14ac:dyDescent="0.2">
      <c r="A3" s="41" t="s">
        <v>143</v>
      </c>
      <c r="B3" s="41" t="s">
        <v>104</v>
      </c>
      <c r="C3" s="41" t="s">
        <v>132</v>
      </c>
      <c r="D3" s="41" t="s">
        <v>105</v>
      </c>
      <c r="E3" s="41" t="s">
        <v>144</v>
      </c>
      <c r="F3" s="41" t="s">
        <v>101</v>
      </c>
      <c r="G3" s="41">
        <v>4</v>
      </c>
      <c r="H3" s="41">
        <v>4</v>
      </c>
      <c r="I3" s="41">
        <v>4</v>
      </c>
      <c r="J3" s="41">
        <v>4</v>
      </c>
      <c r="K3" s="41">
        <v>4</v>
      </c>
      <c r="L3" s="41">
        <v>3</v>
      </c>
      <c r="M3" s="41">
        <v>3</v>
      </c>
      <c r="N3" s="41">
        <v>3</v>
      </c>
      <c r="O3" s="41">
        <v>3</v>
      </c>
      <c r="P3" s="41">
        <v>4</v>
      </c>
      <c r="Q3" s="41" t="s">
        <v>145</v>
      </c>
      <c r="R3" s="41" t="s">
        <v>146</v>
      </c>
      <c r="S3" s="42" t="s">
        <v>147</v>
      </c>
    </row>
    <row r="4" spans="1:19" x14ac:dyDescent="0.2">
      <c r="A4" s="43" t="s">
        <v>148</v>
      </c>
      <c r="B4" s="43" t="s">
        <v>113</v>
      </c>
      <c r="C4" s="43" t="s">
        <v>149</v>
      </c>
      <c r="D4" s="43" t="s">
        <v>150</v>
      </c>
      <c r="E4" s="43" t="s">
        <v>150</v>
      </c>
      <c r="F4" s="43" t="s">
        <v>109</v>
      </c>
      <c r="G4" s="43">
        <v>4</v>
      </c>
      <c r="H4" s="43">
        <v>4</v>
      </c>
      <c r="I4" s="43">
        <v>4</v>
      </c>
      <c r="J4" s="43">
        <v>4</v>
      </c>
      <c r="K4" s="43">
        <v>4</v>
      </c>
      <c r="L4" s="43">
        <v>4</v>
      </c>
      <c r="M4" s="43">
        <v>4</v>
      </c>
      <c r="N4" s="43">
        <v>4</v>
      </c>
      <c r="O4" s="43">
        <v>4</v>
      </c>
      <c r="P4" s="43">
        <v>4</v>
      </c>
      <c r="Q4" s="43" t="s">
        <v>151</v>
      </c>
      <c r="R4" s="43" t="s">
        <v>152</v>
      </c>
      <c r="S4" s="44" t="s">
        <v>151</v>
      </c>
    </row>
    <row r="5" spans="1:19" x14ac:dyDescent="0.2">
      <c r="A5" s="41" t="s">
        <v>153</v>
      </c>
      <c r="B5" s="41" t="s">
        <v>154</v>
      </c>
      <c r="C5" s="41" t="s">
        <v>149</v>
      </c>
      <c r="D5" s="41" t="s">
        <v>155</v>
      </c>
      <c r="E5" s="41" t="s">
        <v>156</v>
      </c>
      <c r="F5" s="41" t="s">
        <v>109</v>
      </c>
      <c r="G5" s="41">
        <v>4</v>
      </c>
      <c r="H5" s="41">
        <v>4</v>
      </c>
      <c r="I5" s="41">
        <v>4</v>
      </c>
      <c r="J5" s="41">
        <v>4</v>
      </c>
      <c r="K5" s="41">
        <v>4</v>
      </c>
      <c r="L5" s="41">
        <v>4</v>
      </c>
      <c r="M5" s="41">
        <v>4</v>
      </c>
      <c r="N5" s="41">
        <v>4</v>
      </c>
      <c r="O5" s="41">
        <v>4</v>
      </c>
      <c r="P5" s="41">
        <v>4</v>
      </c>
      <c r="Q5" s="41" t="s">
        <v>157</v>
      </c>
      <c r="R5" s="41" t="s">
        <v>158</v>
      </c>
      <c r="S5" s="42" t="s">
        <v>159</v>
      </c>
    </row>
    <row r="6" spans="1:19" x14ac:dyDescent="0.2">
      <c r="A6" s="43" t="s">
        <v>148</v>
      </c>
      <c r="B6" s="43" t="s">
        <v>117</v>
      </c>
      <c r="C6" s="43" t="s">
        <v>149</v>
      </c>
      <c r="D6" s="43" t="s">
        <v>160</v>
      </c>
      <c r="E6" s="43" t="s">
        <v>161</v>
      </c>
      <c r="F6" s="43" t="s">
        <v>109</v>
      </c>
      <c r="G6" s="43">
        <v>4</v>
      </c>
      <c r="H6" s="43">
        <v>4</v>
      </c>
      <c r="I6" s="43">
        <v>4</v>
      </c>
      <c r="J6" s="43">
        <v>4</v>
      </c>
      <c r="K6" s="43">
        <v>4</v>
      </c>
      <c r="L6" s="43">
        <v>4</v>
      </c>
      <c r="M6" s="43">
        <v>4</v>
      </c>
      <c r="N6" s="43">
        <v>4</v>
      </c>
      <c r="O6" s="43">
        <v>4</v>
      </c>
      <c r="P6" s="43">
        <v>4</v>
      </c>
      <c r="Q6" s="43" t="s">
        <v>162</v>
      </c>
      <c r="R6" s="43" t="s">
        <v>163</v>
      </c>
      <c r="S6" s="44" t="s">
        <v>164</v>
      </c>
    </row>
    <row r="7" spans="1:19" x14ac:dyDescent="0.2">
      <c r="A7" s="41" t="s">
        <v>130</v>
      </c>
      <c r="B7" s="41" t="s">
        <v>120</v>
      </c>
      <c r="C7" s="41" t="s">
        <v>149</v>
      </c>
      <c r="D7" s="41" t="s">
        <v>165</v>
      </c>
      <c r="E7" s="41" t="s">
        <v>161</v>
      </c>
      <c r="F7" s="41" t="s">
        <v>109</v>
      </c>
      <c r="G7" s="41">
        <v>3</v>
      </c>
      <c r="H7" s="41">
        <v>3</v>
      </c>
      <c r="I7" s="41">
        <v>4</v>
      </c>
      <c r="J7" s="41">
        <v>3</v>
      </c>
      <c r="K7" s="41">
        <v>3</v>
      </c>
      <c r="L7" s="41">
        <v>4</v>
      </c>
      <c r="M7" s="41">
        <v>4</v>
      </c>
      <c r="N7" s="41">
        <v>4</v>
      </c>
      <c r="O7" s="41">
        <v>4</v>
      </c>
      <c r="P7" s="41">
        <v>4</v>
      </c>
      <c r="Q7" s="41" t="s">
        <v>166</v>
      </c>
      <c r="R7" s="41" t="s">
        <v>167</v>
      </c>
      <c r="S7" s="42" t="s">
        <v>168</v>
      </c>
    </row>
    <row r="8" spans="1:19" x14ac:dyDescent="0.2">
      <c r="A8" s="43" t="s">
        <v>169</v>
      </c>
      <c r="B8" s="43" t="s">
        <v>64</v>
      </c>
      <c r="C8" s="43" t="s">
        <v>149</v>
      </c>
      <c r="D8" s="43" t="s">
        <v>58</v>
      </c>
      <c r="E8" s="43" t="s">
        <v>58</v>
      </c>
      <c r="F8" s="43" t="s">
        <v>53</v>
      </c>
      <c r="G8" s="43">
        <v>4</v>
      </c>
      <c r="H8" s="43">
        <v>4</v>
      </c>
      <c r="I8" s="43">
        <v>4</v>
      </c>
      <c r="J8" s="43">
        <v>4</v>
      </c>
      <c r="K8" s="43">
        <v>4</v>
      </c>
      <c r="L8" s="43">
        <v>4</v>
      </c>
      <c r="M8" s="43">
        <v>4</v>
      </c>
      <c r="N8" s="43">
        <v>4</v>
      </c>
      <c r="O8" s="43">
        <v>4</v>
      </c>
      <c r="P8" s="43">
        <v>4</v>
      </c>
      <c r="Q8" s="43" t="s">
        <v>170</v>
      </c>
      <c r="R8" s="43" t="s">
        <v>171</v>
      </c>
      <c r="S8" s="44" t="s">
        <v>172</v>
      </c>
    </row>
    <row r="9" spans="1:19" x14ac:dyDescent="0.2">
      <c r="A9" s="41" t="s">
        <v>173</v>
      </c>
      <c r="B9" s="41" t="s">
        <v>98</v>
      </c>
      <c r="C9" s="41" t="s">
        <v>149</v>
      </c>
      <c r="D9" s="41" t="s">
        <v>93</v>
      </c>
      <c r="E9" s="41" t="s">
        <v>93</v>
      </c>
      <c r="F9" s="41" t="s">
        <v>92</v>
      </c>
      <c r="G9" s="41">
        <v>4</v>
      </c>
      <c r="H9" s="41">
        <v>4</v>
      </c>
      <c r="I9" s="41">
        <v>4</v>
      </c>
      <c r="J9" s="41">
        <v>4</v>
      </c>
      <c r="K9" s="41">
        <v>4</v>
      </c>
      <c r="L9" s="41">
        <v>4</v>
      </c>
      <c r="M9" s="41">
        <v>4</v>
      </c>
      <c r="N9" s="41">
        <v>4</v>
      </c>
      <c r="O9" s="41">
        <v>4</v>
      </c>
      <c r="P9" s="41">
        <v>4</v>
      </c>
      <c r="Q9" s="41" t="s">
        <v>174</v>
      </c>
      <c r="R9" s="41" t="s">
        <v>171</v>
      </c>
      <c r="S9" s="42" t="s">
        <v>175</v>
      </c>
    </row>
    <row r="10" spans="1:19" x14ac:dyDescent="0.2">
      <c r="A10" s="43" t="s">
        <v>176</v>
      </c>
      <c r="B10" s="43" t="s">
        <v>86</v>
      </c>
      <c r="C10" s="43" t="s">
        <v>149</v>
      </c>
      <c r="D10" s="43" t="s">
        <v>54</v>
      </c>
      <c r="E10" s="43" t="s">
        <v>177</v>
      </c>
      <c r="F10" s="43" t="s">
        <v>81</v>
      </c>
      <c r="G10" s="43">
        <v>4</v>
      </c>
      <c r="H10" s="43">
        <v>4</v>
      </c>
      <c r="I10" s="43">
        <v>4</v>
      </c>
      <c r="J10" s="43">
        <v>4</v>
      </c>
      <c r="K10" s="43">
        <v>4</v>
      </c>
      <c r="L10" s="43">
        <v>4</v>
      </c>
      <c r="M10" s="43">
        <v>4</v>
      </c>
      <c r="N10" s="43">
        <v>4</v>
      </c>
      <c r="O10" s="43">
        <v>3</v>
      </c>
      <c r="P10" s="43">
        <v>4</v>
      </c>
      <c r="Q10" s="43" t="s">
        <v>178</v>
      </c>
      <c r="R10" s="43" t="s">
        <v>179</v>
      </c>
      <c r="S10" s="44" t="s">
        <v>180</v>
      </c>
    </row>
    <row r="11" spans="1:19" x14ac:dyDescent="0.2">
      <c r="A11" s="41" t="s">
        <v>181</v>
      </c>
      <c r="B11" s="41" t="s">
        <v>182</v>
      </c>
      <c r="C11" s="41" t="s">
        <v>132</v>
      </c>
      <c r="D11" s="41" t="s">
        <v>183</v>
      </c>
      <c r="E11" s="41" t="s">
        <v>184</v>
      </c>
      <c r="F11" s="41" t="s">
        <v>101</v>
      </c>
      <c r="G11" s="41">
        <v>4</v>
      </c>
      <c r="H11" s="41">
        <v>4</v>
      </c>
      <c r="I11" s="41">
        <v>4</v>
      </c>
      <c r="J11" s="41">
        <v>4</v>
      </c>
      <c r="K11" s="41">
        <v>4</v>
      </c>
      <c r="L11" s="41">
        <v>4</v>
      </c>
      <c r="M11" s="41">
        <v>4</v>
      </c>
      <c r="N11" s="41">
        <v>4</v>
      </c>
      <c r="O11" s="41">
        <v>4</v>
      </c>
      <c r="P11" s="41">
        <v>4</v>
      </c>
      <c r="Q11" s="41" t="s">
        <v>185</v>
      </c>
      <c r="R11" s="41" t="s">
        <v>186</v>
      </c>
      <c r="S11" s="42" t="s">
        <v>187</v>
      </c>
    </row>
    <row r="12" spans="1:19" x14ac:dyDescent="0.2">
      <c r="A12" s="43" t="s">
        <v>188</v>
      </c>
      <c r="B12" s="43" t="s">
        <v>91</v>
      </c>
      <c r="C12" s="43" t="s">
        <v>132</v>
      </c>
      <c r="D12" s="43" t="s">
        <v>189</v>
      </c>
      <c r="E12" s="43" t="s">
        <v>189</v>
      </c>
      <c r="F12" s="43" t="s">
        <v>92</v>
      </c>
      <c r="G12" s="43">
        <v>4</v>
      </c>
      <c r="H12" s="43">
        <v>4</v>
      </c>
      <c r="I12" s="43">
        <v>4</v>
      </c>
      <c r="J12" s="43">
        <v>4</v>
      </c>
      <c r="K12" s="43">
        <v>4</v>
      </c>
      <c r="L12" s="43">
        <v>4</v>
      </c>
      <c r="M12" s="43">
        <v>4</v>
      </c>
      <c r="N12" s="43">
        <v>4</v>
      </c>
      <c r="O12" s="43">
        <v>4</v>
      </c>
      <c r="P12" s="43">
        <v>4</v>
      </c>
      <c r="Q12" s="43" t="s">
        <v>190</v>
      </c>
      <c r="R12" s="43" t="s">
        <v>191</v>
      </c>
      <c r="S12" s="44" t="s">
        <v>192</v>
      </c>
    </row>
    <row r="13" spans="1:19" x14ac:dyDescent="0.2">
      <c r="A13" s="41" t="s">
        <v>193</v>
      </c>
      <c r="B13" s="41" t="s">
        <v>111</v>
      </c>
      <c r="C13" s="41" t="s">
        <v>149</v>
      </c>
      <c r="D13" s="41" t="s">
        <v>194</v>
      </c>
      <c r="E13" s="41" t="s">
        <v>195</v>
      </c>
      <c r="F13" s="41" t="s">
        <v>109</v>
      </c>
      <c r="G13" s="41">
        <v>4</v>
      </c>
      <c r="H13" s="41">
        <v>4</v>
      </c>
      <c r="I13" s="41">
        <v>4</v>
      </c>
      <c r="J13" s="41">
        <v>4</v>
      </c>
      <c r="K13" s="41">
        <v>4</v>
      </c>
      <c r="L13" s="41">
        <v>4</v>
      </c>
      <c r="M13" s="41">
        <v>4</v>
      </c>
      <c r="N13" s="41">
        <v>4</v>
      </c>
      <c r="O13" s="41">
        <v>4</v>
      </c>
      <c r="P13" s="41">
        <v>4</v>
      </c>
      <c r="Q13" s="41" t="s">
        <v>196</v>
      </c>
      <c r="R13" s="41" t="s">
        <v>197</v>
      </c>
      <c r="S13" s="42" t="s">
        <v>198</v>
      </c>
    </row>
    <row r="14" spans="1:19" x14ac:dyDescent="0.2">
      <c r="A14" s="43" t="s">
        <v>199</v>
      </c>
      <c r="B14" s="43" t="s">
        <v>84</v>
      </c>
      <c r="C14" s="43" t="s">
        <v>149</v>
      </c>
      <c r="D14" s="43" t="s">
        <v>85</v>
      </c>
      <c r="E14" s="43" t="s">
        <v>200</v>
      </c>
      <c r="F14" s="43" t="s">
        <v>81</v>
      </c>
      <c r="G14" s="43">
        <v>4</v>
      </c>
      <c r="H14" s="43">
        <v>4</v>
      </c>
      <c r="I14" s="43">
        <v>4</v>
      </c>
      <c r="J14" s="43">
        <v>4</v>
      </c>
      <c r="K14" s="43">
        <v>4</v>
      </c>
      <c r="L14" s="43">
        <v>4</v>
      </c>
      <c r="M14" s="43">
        <v>4</v>
      </c>
      <c r="N14" s="43">
        <v>4</v>
      </c>
      <c r="O14" s="43">
        <v>4</v>
      </c>
      <c r="P14" s="43">
        <v>4</v>
      </c>
      <c r="Q14" s="43" t="s">
        <v>201</v>
      </c>
      <c r="R14" s="43" t="s">
        <v>202</v>
      </c>
      <c r="S14" s="44" t="s">
        <v>203</v>
      </c>
    </row>
    <row r="15" spans="1:19" x14ac:dyDescent="0.2">
      <c r="A15" s="41" t="s">
        <v>188</v>
      </c>
      <c r="B15" s="41" t="s">
        <v>96</v>
      </c>
      <c r="C15" s="41" t="s">
        <v>149</v>
      </c>
      <c r="D15" s="41" t="s">
        <v>204</v>
      </c>
      <c r="E15" s="41" t="s">
        <v>205</v>
      </c>
      <c r="F15" s="41" t="s">
        <v>92</v>
      </c>
      <c r="G15" s="41">
        <v>4</v>
      </c>
      <c r="H15" s="41">
        <v>4</v>
      </c>
      <c r="I15" s="41">
        <v>4</v>
      </c>
      <c r="J15" s="41">
        <v>4</v>
      </c>
      <c r="K15" s="41">
        <v>4</v>
      </c>
      <c r="L15" s="41">
        <v>4</v>
      </c>
      <c r="M15" s="41">
        <v>4</v>
      </c>
      <c r="N15" s="41">
        <v>4</v>
      </c>
      <c r="O15" s="41">
        <v>4</v>
      </c>
      <c r="P15" s="41">
        <v>4</v>
      </c>
      <c r="Q15" s="41" t="s">
        <v>206</v>
      </c>
      <c r="R15" s="41" t="s">
        <v>207</v>
      </c>
      <c r="S15" s="42" t="s">
        <v>208</v>
      </c>
    </row>
    <row r="16" spans="1:19" x14ac:dyDescent="0.2">
      <c r="A16" s="43" t="s">
        <v>209</v>
      </c>
      <c r="B16" s="43" t="s">
        <v>210</v>
      </c>
      <c r="C16" s="43" t="s">
        <v>132</v>
      </c>
      <c r="D16" s="43" t="s">
        <v>82</v>
      </c>
      <c r="E16" s="43" t="s">
        <v>211</v>
      </c>
      <c r="F16" s="43" t="s">
        <v>81</v>
      </c>
      <c r="G16" s="43">
        <v>4</v>
      </c>
      <c r="H16" s="43">
        <v>4</v>
      </c>
      <c r="I16" s="43">
        <v>4</v>
      </c>
      <c r="J16" s="43">
        <v>4</v>
      </c>
      <c r="K16" s="43">
        <v>4</v>
      </c>
      <c r="L16" s="43">
        <v>4</v>
      </c>
      <c r="M16" s="43">
        <v>4</v>
      </c>
      <c r="N16" s="43">
        <v>4</v>
      </c>
      <c r="O16" s="43">
        <v>4</v>
      </c>
      <c r="P16" s="43">
        <v>4</v>
      </c>
      <c r="Q16" s="43" t="s">
        <v>212</v>
      </c>
      <c r="R16" s="43" t="s">
        <v>213</v>
      </c>
      <c r="S16" s="44" t="s">
        <v>214</v>
      </c>
    </row>
    <row r="17" spans="1:19" x14ac:dyDescent="0.2">
      <c r="A17" s="41" t="s">
        <v>130</v>
      </c>
      <c r="B17" s="41" t="s">
        <v>119</v>
      </c>
      <c r="C17" s="41" t="s">
        <v>149</v>
      </c>
      <c r="D17" s="41" t="s">
        <v>165</v>
      </c>
      <c r="E17" s="41" t="s">
        <v>161</v>
      </c>
      <c r="F17" s="41" t="s">
        <v>109</v>
      </c>
      <c r="G17" s="41">
        <v>4</v>
      </c>
      <c r="H17" s="41">
        <v>4</v>
      </c>
      <c r="I17" s="41">
        <v>4</v>
      </c>
      <c r="J17" s="41">
        <v>4</v>
      </c>
      <c r="K17" s="41">
        <v>4</v>
      </c>
      <c r="L17" s="41">
        <v>4</v>
      </c>
      <c r="M17" s="41">
        <v>4</v>
      </c>
      <c r="N17" s="41">
        <v>4</v>
      </c>
      <c r="O17" s="41">
        <v>4</v>
      </c>
      <c r="P17" s="41">
        <v>4</v>
      </c>
      <c r="Q17" s="41" t="s">
        <v>215</v>
      </c>
      <c r="R17" s="41" t="s">
        <v>216</v>
      </c>
      <c r="S17" s="42" t="s">
        <v>217</v>
      </c>
    </row>
    <row r="18" spans="1:19" x14ac:dyDescent="0.2">
      <c r="A18" s="43" t="s">
        <v>218</v>
      </c>
      <c r="B18" s="43" t="s">
        <v>219</v>
      </c>
      <c r="C18" s="43" t="s">
        <v>132</v>
      </c>
      <c r="D18" s="43" t="s">
        <v>95</v>
      </c>
      <c r="E18" s="43" t="s">
        <v>220</v>
      </c>
      <c r="F18" s="43" t="s">
        <v>101</v>
      </c>
      <c r="G18" s="43">
        <v>4</v>
      </c>
      <c r="H18" s="43">
        <v>4</v>
      </c>
      <c r="I18" s="43">
        <v>4</v>
      </c>
      <c r="J18" s="43">
        <v>4</v>
      </c>
      <c r="K18" s="43">
        <v>4</v>
      </c>
      <c r="L18" s="43">
        <v>4</v>
      </c>
      <c r="M18" s="43">
        <v>4</v>
      </c>
      <c r="N18" s="43">
        <v>4</v>
      </c>
      <c r="O18" s="43">
        <v>4</v>
      </c>
      <c r="P18" s="43">
        <v>4</v>
      </c>
      <c r="Q18" s="43" t="s">
        <v>221</v>
      </c>
      <c r="R18" s="43" t="s">
        <v>222</v>
      </c>
      <c r="S18" s="44" t="s">
        <v>223</v>
      </c>
    </row>
    <row r="19" spans="1:19" x14ac:dyDescent="0.2">
      <c r="A19" s="41" t="s">
        <v>224</v>
      </c>
      <c r="B19" s="41" t="s">
        <v>225</v>
      </c>
      <c r="C19" s="41" t="s">
        <v>132</v>
      </c>
      <c r="D19" s="41" t="s">
        <v>61</v>
      </c>
      <c r="E19" s="41" t="s">
        <v>58</v>
      </c>
      <c r="F19" s="41" t="s">
        <v>53</v>
      </c>
      <c r="G19" s="41">
        <v>4</v>
      </c>
      <c r="H19" s="41">
        <v>4</v>
      </c>
      <c r="I19" s="41">
        <v>4</v>
      </c>
      <c r="J19" s="41">
        <v>4</v>
      </c>
      <c r="K19" s="41">
        <v>4</v>
      </c>
      <c r="L19" s="41">
        <v>4</v>
      </c>
      <c r="M19" s="41">
        <v>4</v>
      </c>
      <c r="N19" s="41">
        <v>4</v>
      </c>
      <c r="O19" s="41">
        <v>3</v>
      </c>
      <c r="P19" s="41">
        <v>4</v>
      </c>
      <c r="Q19" s="41" t="s">
        <v>226</v>
      </c>
      <c r="R19" s="41" t="s">
        <v>227</v>
      </c>
      <c r="S19" s="42" t="s">
        <v>228</v>
      </c>
    </row>
    <row r="20" spans="1:19" x14ac:dyDescent="0.2">
      <c r="A20" s="43" t="s">
        <v>229</v>
      </c>
      <c r="B20" s="43" t="s">
        <v>230</v>
      </c>
      <c r="C20" s="43" t="s">
        <v>132</v>
      </c>
      <c r="D20" s="43" t="s">
        <v>231</v>
      </c>
      <c r="E20" s="43" t="s">
        <v>231</v>
      </c>
      <c r="F20" s="43" t="s">
        <v>81</v>
      </c>
      <c r="G20" s="43">
        <v>3</v>
      </c>
      <c r="H20" s="43">
        <v>3</v>
      </c>
      <c r="I20" s="43">
        <v>3</v>
      </c>
      <c r="J20" s="43">
        <v>4</v>
      </c>
      <c r="K20" s="43">
        <v>4</v>
      </c>
      <c r="L20" s="43">
        <v>4</v>
      </c>
      <c r="M20" s="43">
        <v>3</v>
      </c>
      <c r="N20" s="43">
        <v>3</v>
      </c>
      <c r="O20" s="43">
        <v>3</v>
      </c>
      <c r="P20" s="43">
        <v>3</v>
      </c>
      <c r="Q20" s="43" t="s">
        <v>232</v>
      </c>
      <c r="R20" s="43" t="s">
        <v>233</v>
      </c>
      <c r="S20" s="44" t="s">
        <v>234</v>
      </c>
    </row>
    <row r="21" spans="1:19" x14ac:dyDescent="0.2">
      <c r="A21" s="41" t="s">
        <v>235</v>
      </c>
      <c r="B21" s="41" t="s">
        <v>236</v>
      </c>
      <c r="C21" s="41" t="s">
        <v>149</v>
      </c>
      <c r="D21" s="41" t="s">
        <v>54</v>
      </c>
      <c r="E21" s="41" t="s">
        <v>237</v>
      </c>
      <c r="F21" s="41" t="s">
        <v>81</v>
      </c>
      <c r="G21" s="41">
        <v>4</v>
      </c>
      <c r="H21" s="41">
        <v>4</v>
      </c>
      <c r="I21" s="41">
        <v>4</v>
      </c>
      <c r="J21" s="41">
        <v>4</v>
      </c>
      <c r="K21" s="41">
        <v>4</v>
      </c>
      <c r="L21" s="41">
        <v>4</v>
      </c>
      <c r="M21" s="41">
        <v>4</v>
      </c>
      <c r="N21" s="41">
        <v>4</v>
      </c>
      <c r="O21" s="41">
        <v>4</v>
      </c>
      <c r="P21" s="41">
        <v>4</v>
      </c>
      <c r="Q21" s="41" t="s">
        <v>238</v>
      </c>
      <c r="R21" s="41" t="s">
        <v>239</v>
      </c>
      <c r="S21" s="42" t="s">
        <v>240</v>
      </c>
    </row>
    <row r="22" spans="1:19" x14ac:dyDescent="0.2">
      <c r="A22" s="43" t="s">
        <v>241</v>
      </c>
      <c r="B22" s="43" t="s">
        <v>242</v>
      </c>
      <c r="C22" s="43" t="s">
        <v>149</v>
      </c>
      <c r="D22" s="43" t="s">
        <v>243</v>
      </c>
      <c r="E22" s="43" t="s">
        <v>244</v>
      </c>
      <c r="F22" s="43" t="s">
        <v>53</v>
      </c>
      <c r="G22" s="43">
        <v>4</v>
      </c>
      <c r="H22" s="43">
        <v>4</v>
      </c>
      <c r="I22" s="43">
        <v>4</v>
      </c>
      <c r="J22" s="43">
        <v>4</v>
      </c>
      <c r="K22" s="43">
        <v>4</v>
      </c>
      <c r="L22" s="43">
        <v>4</v>
      </c>
      <c r="M22" s="43">
        <v>4</v>
      </c>
      <c r="N22" s="43">
        <v>4</v>
      </c>
      <c r="O22" s="43">
        <v>3</v>
      </c>
      <c r="P22" s="43">
        <v>4</v>
      </c>
      <c r="Q22" s="43" t="s">
        <v>245</v>
      </c>
      <c r="R22" s="43" t="s">
        <v>246</v>
      </c>
      <c r="S22" s="44" t="s">
        <v>245</v>
      </c>
    </row>
    <row r="23" spans="1:19" x14ac:dyDescent="0.2">
      <c r="A23" s="41" t="s">
        <v>247</v>
      </c>
      <c r="B23" s="41" t="s">
        <v>248</v>
      </c>
      <c r="C23" s="41" t="s">
        <v>149</v>
      </c>
      <c r="D23" s="41" t="s">
        <v>249</v>
      </c>
      <c r="E23" s="41" t="s">
        <v>250</v>
      </c>
      <c r="F23" s="41" t="s">
        <v>109</v>
      </c>
      <c r="G23" s="41">
        <v>4</v>
      </c>
      <c r="H23" s="41">
        <v>4</v>
      </c>
      <c r="I23" s="41">
        <v>4</v>
      </c>
      <c r="J23" s="41">
        <v>4</v>
      </c>
      <c r="K23" s="41">
        <v>4</v>
      </c>
      <c r="L23" s="41">
        <v>4</v>
      </c>
      <c r="M23" s="41">
        <v>4</v>
      </c>
      <c r="N23" s="41">
        <v>4</v>
      </c>
      <c r="O23" s="41">
        <v>4</v>
      </c>
      <c r="P23" s="41">
        <v>4</v>
      </c>
      <c r="Q23" s="41" t="s">
        <v>251</v>
      </c>
      <c r="R23" s="41" t="s">
        <v>252</v>
      </c>
      <c r="S23" s="42" t="s">
        <v>253</v>
      </c>
    </row>
    <row r="24" spans="1:19" x14ac:dyDescent="0.2">
      <c r="A24" s="43" t="s">
        <v>148</v>
      </c>
      <c r="B24" s="43" t="s">
        <v>118</v>
      </c>
      <c r="C24" s="43" t="s">
        <v>149</v>
      </c>
      <c r="D24" s="43" t="s">
        <v>254</v>
      </c>
      <c r="E24" s="43" t="s">
        <v>250</v>
      </c>
      <c r="F24" s="43" t="s">
        <v>109</v>
      </c>
      <c r="G24" s="43">
        <v>4</v>
      </c>
      <c r="H24" s="43">
        <v>4</v>
      </c>
      <c r="I24" s="43">
        <v>4</v>
      </c>
      <c r="J24" s="43">
        <v>4</v>
      </c>
      <c r="K24" s="43">
        <v>4</v>
      </c>
      <c r="L24" s="43">
        <v>4</v>
      </c>
      <c r="M24" s="43">
        <v>4</v>
      </c>
      <c r="N24" s="43">
        <v>4</v>
      </c>
      <c r="O24" s="43">
        <v>3</v>
      </c>
      <c r="P24" s="43">
        <v>4</v>
      </c>
      <c r="Q24" s="43" t="s">
        <v>255</v>
      </c>
      <c r="R24" s="43" t="s">
        <v>152</v>
      </c>
      <c r="S24" s="44" t="s">
        <v>256</v>
      </c>
    </row>
    <row r="25" spans="1:19" x14ac:dyDescent="0.2">
      <c r="A25" s="41" t="s">
        <v>193</v>
      </c>
      <c r="B25" s="41" t="s">
        <v>257</v>
      </c>
      <c r="C25" s="41" t="s">
        <v>149</v>
      </c>
      <c r="D25" s="41" t="s">
        <v>258</v>
      </c>
      <c r="E25" s="41" t="s">
        <v>259</v>
      </c>
      <c r="F25" s="41" t="s">
        <v>260</v>
      </c>
      <c r="G25" s="41">
        <v>4</v>
      </c>
      <c r="H25" s="41">
        <v>4</v>
      </c>
      <c r="I25" s="41">
        <v>4</v>
      </c>
      <c r="J25" s="41">
        <v>4</v>
      </c>
      <c r="K25" s="41">
        <v>4</v>
      </c>
      <c r="L25" s="41">
        <v>4</v>
      </c>
      <c r="M25" s="41">
        <v>4</v>
      </c>
      <c r="N25" s="41">
        <v>4</v>
      </c>
      <c r="O25" s="41">
        <v>4</v>
      </c>
      <c r="P25" s="41">
        <v>4</v>
      </c>
      <c r="Q25" s="41" t="s">
        <v>261</v>
      </c>
      <c r="R25" s="41" t="s">
        <v>262</v>
      </c>
      <c r="S25" s="42" t="s">
        <v>263</v>
      </c>
    </row>
    <row r="26" spans="1:19" x14ac:dyDescent="0.2">
      <c r="A26" s="43" t="s">
        <v>130</v>
      </c>
      <c r="B26" s="43" t="s">
        <v>264</v>
      </c>
      <c r="C26" s="43" t="s">
        <v>149</v>
      </c>
      <c r="D26" s="43" t="s">
        <v>265</v>
      </c>
      <c r="E26" s="43" t="s">
        <v>266</v>
      </c>
      <c r="F26" s="43" t="s">
        <v>260</v>
      </c>
      <c r="G26" s="43">
        <v>4</v>
      </c>
      <c r="H26" s="43">
        <v>4</v>
      </c>
      <c r="I26" s="43">
        <v>4</v>
      </c>
      <c r="J26" s="43">
        <v>3</v>
      </c>
      <c r="K26" s="43">
        <v>4</v>
      </c>
      <c r="L26" s="43">
        <v>4</v>
      </c>
      <c r="M26" s="43">
        <v>4</v>
      </c>
      <c r="N26" s="43">
        <v>4</v>
      </c>
      <c r="O26" s="43">
        <v>4</v>
      </c>
      <c r="P26" s="43">
        <v>4</v>
      </c>
      <c r="Q26" s="43" t="s">
        <v>267</v>
      </c>
      <c r="R26" s="43" t="s">
        <v>268</v>
      </c>
      <c r="S26" s="44" t="s">
        <v>269</v>
      </c>
    </row>
    <row r="27" spans="1:19" x14ac:dyDescent="0.2">
      <c r="A27" s="41" t="s">
        <v>270</v>
      </c>
      <c r="B27" s="41" t="s">
        <v>271</v>
      </c>
      <c r="C27" s="41" t="s">
        <v>132</v>
      </c>
      <c r="D27" s="41" t="s">
        <v>272</v>
      </c>
      <c r="E27" s="41" t="s">
        <v>273</v>
      </c>
      <c r="F27" s="41" t="s">
        <v>260</v>
      </c>
      <c r="G27" s="41">
        <v>4</v>
      </c>
      <c r="H27" s="41">
        <v>4</v>
      </c>
      <c r="I27" s="41">
        <v>4</v>
      </c>
      <c r="J27" s="41">
        <v>4</v>
      </c>
      <c r="K27" s="41">
        <v>4</v>
      </c>
      <c r="L27" s="41">
        <v>4</v>
      </c>
      <c r="M27" s="41">
        <v>4</v>
      </c>
      <c r="N27" s="41">
        <v>4</v>
      </c>
      <c r="O27" s="41">
        <v>4</v>
      </c>
      <c r="P27" s="41">
        <v>4</v>
      </c>
      <c r="Q27" s="41" t="s">
        <v>274</v>
      </c>
      <c r="R27" s="41" t="s">
        <v>275</v>
      </c>
      <c r="S27" s="42" t="s">
        <v>276</v>
      </c>
    </row>
    <row r="28" spans="1:19" x14ac:dyDescent="0.2">
      <c r="A28" s="43" t="s">
        <v>277</v>
      </c>
      <c r="B28" s="43" t="s">
        <v>278</v>
      </c>
      <c r="C28" s="43" t="s">
        <v>149</v>
      </c>
      <c r="D28" s="43" t="s">
        <v>279</v>
      </c>
      <c r="E28" s="43" t="s">
        <v>280</v>
      </c>
      <c r="F28" s="43" t="s">
        <v>260</v>
      </c>
      <c r="G28" s="43">
        <v>4</v>
      </c>
      <c r="H28" s="43">
        <v>4</v>
      </c>
      <c r="I28" s="43">
        <v>4</v>
      </c>
      <c r="J28" s="43">
        <v>3</v>
      </c>
      <c r="K28" s="43">
        <v>4</v>
      </c>
      <c r="L28" s="43">
        <v>4</v>
      </c>
      <c r="M28" s="43">
        <v>4</v>
      </c>
      <c r="N28" s="43">
        <v>4</v>
      </c>
      <c r="O28" s="43">
        <v>4</v>
      </c>
      <c r="P28" s="43">
        <v>4</v>
      </c>
      <c r="Q28" s="43" t="s">
        <v>281</v>
      </c>
      <c r="R28" s="43" t="s">
        <v>282</v>
      </c>
      <c r="S28" s="44" t="s">
        <v>283</v>
      </c>
    </row>
    <row r="29" spans="1:19" x14ac:dyDescent="0.2">
      <c r="A29" s="41" t="s">
        <v>148</v>
      </c>
      <c r="B29" s="41" t="s">
        <v>284</v>
      </c>
      <c r="C29" s="41" t="s">
        <v>149</v>
      </c>
      <c r="D29" s="41" t="s">
        <v>259</v>
      </c>
      <c r="E29" s="41" t="s">
        <v>259</v>
      </c>
      <c r="F29" s="41" t="s">
        <v>260</v>
      </c>
      <c r="G29" s="41">
        <v>4</v>
      </c>
      <c r="H29" s="41">
        <v>4</v>
      </c>
      <c r="I29" s="41">
        <v>4</v>
      </c>
      <c r="J29" s="41">
        <v>4</v>
      </c>
      <c r="K29" s="41">
        <v>4</v>
      </c>
      <c r="L29" s="41">
        <v>4</v>
      </c>
      <c r="M29" s="41">
        <v>4</v>
      </c>
      <c r="N29" s="41">
        <v>4</v>
      </c>
      <c r="O29" s="41">
        <v>4</v>
      </c>
      <c r="P29" s="41">
        <v>4</v>
      </c>
      <c r="Q29" s="41" t="s">
        <v>285</v>
      </c>
      <c r="R29" s="41" t="s">
        <v>286</v>
      </c>
      <c r="S29" s="42" t="s">
        <v>287</v>
      </c>
    </row>
    <row r="30" spans="1:19" x14ac:dyDescent="0.2">
      <c r="A30" s="43" t="s">
        <v>288</v>
      </c>
      <c r="B30" s="43" t="s">
        <v>289</v>
      </c>
      <c r="C30" s="43" t="s">
        <v>149</v>
      </c>
      <c r="D30" s="43" t="s">
        <v>290</v>
      </c>
      <c r="E30" s="43" t="s">
        <v>291</v>
      </c>
      <c r="F30" s="43" t="s">
        <v>260</v>
      </c>
      <c r="G30" s="43">
        <v>3</v>
      </c>
      <c r="H30" s="43">
        <v>3</v>
      </c>
      <c r="I30" s="43">
        <v>3</v>
      </c>
      <c r="J30" s="43">
        <v>3</v>
      </c>
      <c r="K30" s="43">
        <v>3</v>
      </c>
      <c r="L30" s="43">
        <v>3</v>
      </c>
      <c r="M30" s="43">
        <v>4</v>
      </c>
      <c r="N30" s="43">
        <v>3</v>
      </c>
      <c r="O30" s="43">
        <v>4</v>
      </c>
      <c r="P30" s="43">
        <v>4</v>
      </c>
      <c r="Q30" s="43" t="s">
        <v>292</v>
      </c>
      <c r="R30" s="43" t="s">
        <v>293</v>
      </c>
      <c r="S30" s="44" t="s">
        <v>294</v>
      </c>
    </row>
    <row r="31" spans="1:19" x14ac:dyDescent="0.2">
      <c r="A31" s="41" t="s">
        <v>295</v>
      </c>
      <c r="B31" s="41" t="s">
        <v>296</v>
      </c>
      <c r="C31" s="41" t="s">
        <v>149</v>
      </c>
      <c r="D31" s="41" t="s">
        <v>58</v>
      </c>
      <c r="E31" s="41" t="s">
        <v>58</v>
      </c>
      <c r="F31" s="41" t="s">
        <v>260</v>
      </c>
      <c r="G31" s="41">
        <v>4</v>
      </c>
      <c r="H31" s="41">
        <v>4</v>
      </c>
      <c r="I31" s="41">
        <v>4</v>
      </c>
      <c r="J31" s="41">
        <v>4</v>
      </c>
      <c r="K31" s="41">
        <v>4</v>
      </c>
      <c r="L31" s="41">
        <v>4</v>
      </c>
      <c r="M31" s="41">
        <v>4</v>
      </c>
      <c r="N31" s="41">
        <v>4</v>
      </c>
      <c r="O31" s="41">
        <v>4</v>
      </c>
      <c r="P31" s="41">
        <v>4</v>
      </c>
      <c r="Q31" s="41" t="s">
        <v>297</v>
      </c>
      <c r="R31" s="41" t="s">
        <v>298</v>
      </c>
      <c r="S31" s="42" t="s">
        <v>299</v>
      </c>
    </row>
    <row r="32" spans="1:19" x14ac:dyDescent="0.2">
      <c r="A32" s="43" t="s">
        <v>193</v>
      </c>
      <c r="B32" s="43" t="s">
        <v>300</v>
      </c>
      <c r="C32" s="43" t="s">
        <v>149</v>
      </c>
      <c r="D32" s="43" t="s">
        <v>301</v>
      </c>
      <c r="E32" s="43" t="s">
        <v>259</v>
      </c>
      <c r="F32" s="43" t="s">
        <v>260</v>
      </c>
      <c r="G32" s="43">
        <v>4</v>
      </c>
      <c r="H32" s="43">
        <v>4</v>
      </c>
      <c r="I32" s="43">
        <v>4</v>
      </c>
      <c r="J32" s="43">
        <v>4</v>
      </c>
      <c r="K32" s="43">
        <v>4</v>
      </c>
      <c r="L32" s="43">
        <v>4</v>
      </c>
      <c r="M32" s="43">
        <v>4</v>
      </c>
      <c r="N32" s="43">
        <v>4</v>
      </c>
      <c r="O32" s="43">
        <v>4</v>
      </c>
      <c r="P32" s="43">
        <v>4</v>
      </c>
      <c r="Q32" s="43" t="s">
        <v>302</v>
      </c>
      <c r="R32" s="43" t="s">
        <v>303</v>
      </c>
      <c r="S32" s="44" t="s">
        <v>304</v>
      </c>
    </row>
    <row r="33" spans="1:19" x14ac:dyDescent="0.2">
      <c r="A33" s="41" t="s">
        <v>148</v>
      </c>
      <c r="B33" s="41" t="s">
        <v>305</v>
      </c>
      <c r="C33" s="41" t="s">
        <v>149</v>
      </c>
      <c r="D33" s="41" t="s">
        <v>58</v>
      </c>
      <c r="E33" s="41" t="s">
        <v>58</v>
      </c>
      <c r="F33" s="41" t="s">
        <v>260</v>
      </c>
      <c r="G33" s="41">
        <v>4</v>
      </c>
      <c r="H33" s="41">
        <v>4</v>
      </c>
      <c r="I33" s="41">
        <v>4</v>
      </c>
      <c r="J33" s="41">
        <v>4</v>
      </c>
      <c r="K33" s="41">
        <v>4</v>
      </c>
      <c r="L33" s="41">
        <v>4</v>
      </c>
      <c r="M33" s="41">
        <v>4</v>
      </c>
      <c r="N33" s="41">
        <v>4</v>
      </c>
      <c r="O33" s="41">
        <v>4</v>
      </c>
      <c r="P33" s="41">
        <v>4</v>
      </c>
      <c r="Q33" s="41" t="s">
        <v>306</v>
      </c>
      <c r="R33" s="41" t="s">
        <v>307</v>
      </c>
      <c r="S33" s="42" t="s">
        <v>308</v>
      </c>
    </row>
    <row r="34" spans="1:19" x14ac:dyDescent="0.2">
      <c r="A34" s="43" t="s">
        <v>295</v>
      </c>
      <c r="B34" s="43" t="s">
        <v>309</v>
      </c>
      <c r="C34" s="43" t="s">
        <v>149</v>
      </c>
      <c r="D34" s="43" t="s">
        <v>259</v>
      </c>
      <c r="E34" s="43" t="s">
        <v>310</v>
      </c>
      <c r="F34" s="43" t="s">
        <v>311</v>
      </c>
      <c r="G34" s="43">
        <v>4</v>
      </c>
      <c r="H34" s="43">
        <v>4</v>
      </c>
      <c r="I34" s="43">
        <v>4</v>
      </c>
      <c r="J34" s="43">
        <v>4</v>
      </c>
      <c r="K34" s="43">
        <v>4</v>
      </c>
      <c r="L34" s="43">
        <v>4</v>
      </c>
      <c r="M34" s="43">
        <v>4</v>
      </c>
      <c r="N34" s="43">
        <v>4</v>
      </c>
      <c r="O34" s="43">
        <v>4</v>
      </c>
      <c r="P34" s="43">
        <v>4</v>
      </c>
      <c r="Q34" s="43" t="s">
        <v>312</v>
      </c>
      <c r="R34" s="43" t="s">
        <v>313</v>
      </c>
      <c r="S34" s="44" t="s">
        <v>314</v>
      </c>
    </row>
    <row r="35" spans="1:19" x14ac:dyDescent="0.2">
      <c r="A35" s="41" t="s">
        <v>315</v>
      </c>
      <c r="B35" s="41" t="s">
        <v>316</v>
      </c>
      <c r="C35" s="41" t="s">
        <v>149</v>
      </c>
      <c r="D35" s="41" t="s">
        <v>317</v>
      </c>
      <c r="E35" s="41" t="s">
        <v>318</v>
      </c>
      <c r="F35" s="41" t="s">
        <v>260</v>
      </c>
      <c r="G35" s="41">
        <v>4</v>
      </c>
      <c r="H35" s="41">
        <v>4</v>
      </c>
      <c r="I35" s="41">
        <v>4</v>
      </c>
      <c r="J35" s="41">
        <v>4</v>
      </c>
      <c r="K35" s="41">
        <v>4</v>
      </c>
      <c r="L35" s="41">
        <v>4</v>
      </c>
      <c r="M35" s="41">
        <v>4</v>
      </c>
      <c r="N35" s="41">
        <v>4</v>
      </c>
      <c r="O35" s="41">
        <v>4</v>
      </c>
      <c r="P35" s="41">
        <v>4</v>
      </c>
      <c r="Q35" s="41" t="s">
        <v>319</v>
      </c>
      <c r="R35" s="41" t="s">
        <v>320</v>
      </c>
      <c r="S35" s="42" t="s">
        <v>321</v>
      </c>
    </row>
    <row r="36" spans="1:19" x14ac:dyDescent="0.2">
      <c r="A36" s="43" t="s">
        <v>148</v>
      </c>
      <c r="B36" s="43" t="s">
        <v>322</v>
      </c>
      <c r="C36" s="43" t="s">
        <v>149</v>
      </c>
      <c r="D36" s="43" t="s">
        <v>323</v>
      </c>
      <c r="E36" s="43" t="s">
        <v>58</v>
      </c>
      <c r="F36" s="43" t="s">
        <v>260</v>
      </c>
      <c r="G36" s="43">
        <v>4</v>
      </c>
      <c r="H36" s="43">
        <v>4</v>
      </c>
      <c r="I36" s="43">
        <v>4</v>
      </c>
      <c r="J36" s="43">
        <v>4</v>
      </c>
      <c r="K36" s="43">
        <v>4</v>
      </c>
      <c r="L36" s="43">
        <v>4</v>
      </c>
      <c r="M36" s="43">
        <v>4</v>
      </c>
      <c r="N36" s="43">
        <v>4</v>
      </c>
      <c r="O36" s="43">
        <v>4</v>
      </c>
      <c r="P36" s="43">
        <v>4</v>
      </c>
      <c r="Q36" s="43" t="s">
        <v>324</v>
      </c>
      <c r="R36" s="43" t="s">
        <v>325</v>
      </c>
      <c r="S36" s="44" t="s">
        <v>326</v>
      </c>
    </row>
    <row r="37" spans="1:19" x14ac:dyDescent="0.2">
      <c r="A37" s="41" t="s">
        <v>288</v>
      </c>
      <c r="B37" s="41" t="s">
        <v>327</v>
      </c>
      <c r="C37" s="41" t="s">
        <v>149</v>
      </c>
      <c r="D37" s="41" t="s">
        <v>328</v>
      </c>
      <c r="E37" s="41" t="s">
        <v>329</v>
      </c>
      <c r="F37" s="41" t="s">
        <v>260</v>
      </c>
      <c r="G37" s="41">
        <v>3</v>
      </c>
      <c r="H37" s="41">
        <v>4</v>
      </c>
      <c r="I37" s="41">
        <v>4</v>
      </c>
      <c r="J37" s="41">
        <v>4</v>
      </c>
      <c r="K37" s="41">
        <v>3</v>
      </c>
      <c r="L37" s="41">
        <v>3</v>
      </c>
      <c r="M37" s="41">
        <v>4</v>
      </c>
      <c r="N37" s="41">
        <v>4</v>
      </c>
      <c r="O37" s="41">
        <v>3</v>
      </c>
      <c r="P37" s="41">
        <v>3</v>
      </c>
      <c r="Q37" s="41" t="s">
        <v>330</v>
      </c>
      <c r="R37" s="41" t="s">
        <v>331</v>
      </c>
      <c r="S37" s="42" t="s">
        <v>332</v>
      </c>
    </row>
    <row r="38" spans="1:19" x14ac:dyDescent="0.2">
      <c r="A38" s="43" t="s">
        <v>130</v>
      </c>
      <c r="B38" s="43" t="s">
        <v>333</v>
      </c>
      <c r="C38" s="43" t="s">
        <v>149</v>
      </c>
      <c r="D38" s="43" t="s">
        <v>54</v>
      </c>
      <c r="E38" s="43" t="s">
        <v>334</v>
      </c>
      <c r="F38" s="43" t="s">
        <v>260</v>
      </c>
      <c r="G38" s="43">
        <v>3</v>
      </c>
      <c r="H38" s="43">
        <v>3</v>
      </c>
      <c r="I38" s="43">
        <v>3</v>
      </c>
      <c r="J38" s="43">
        <v>4</v>
      </c>
      <c r="K38" s="43">
        <v>4</v>
      </c>
      <c r="L38" s="43">
        <v>4</v>
      </c>
      <c r="M38" s="43">
        <v>4</v>
      </c>
      <c r="N38" s="43">
        <v>4</v>
      </c>
      <c r="O38" s="43">
        <v>3</v>
      </c>
      <c r="P38" s="43">
        <v>4</v>
      </c>
      <c r="Q38" s="43" t="s">
        <v>335</v>
      </c>
      <c r="R38" s="43" t="s">
        <v>336</v>
      </c>
      <c r="S38" s="44" t="s">
        <v>337</v>
      </c>
    </row>
    <row r="39" spans="1:19" x14ac:dyDescent="0.2">
      <c r="A39" s="41" t="s">
        <v>130</v>
      </c>
      <c r="B39" s="41" t="s">
        <v>338</v>
      </c>
      <c r="C39" s="41" t="s">
        <v>149</v>
      </c>
      <c r="D39" s="41" t="s">
        <v>301</v>
      </c>
      <c r="E39" s="41" t="s">
        <v>259</v>
      </c>
      <c r="F39" s="41" t="s">
        <v>260</v>
      </c>
      <c r="G39" s="41">
        <v>4</v>
      </c>
      <c r="H39" s="41">
        <v>4</v>
      </c>
      <c r="I39" s="41">
        <v>4</v>
      </c>
      <c r="J39" s="41">
        <v>4</v>
      </c>
      <c r="K39" s="41">
        <v>4</v>
      </c>
      <c r="L39" s="41">
        <v>4</v>
      </c>
      <c r="M39" s="41">
        <v>4</v>
      </c>
      <c r="N39" s="41">
        <v>4</v>
      </c>
      <c r="O39" s="41">
        <v>4</v>
      </c>
      <c r="P39" s="41">
        <v>4</v>
      </c>
      <c r="Q39" s="41" t="s">
        <v>339</v>
      </c>
      <c r="R39" s="41" t="s">
        <v>340</v>
      </c>
      <c r="S39" s="42" t="s">
        <v>341</v>
      </c>
    </row>
    <row r="40" spans="1:19" x14ac:dyDescent="0.2">
      <c r="A40" s="43" t="s">
        <v>153</v>
      </c>
      <c r="B40" s="43" t="s">
        <v>342</v>
      </c>
      <c r="C40" s="43" t="s">
        <v>132</v>
      </c>
      <c r="D40" s="43" t="s">
        <v>54</v>
      </c>
      <c r="E40" s="43" t="s">
        <v>343</v>
      </c>
      <c r="F40" s="43" t="s">
        <v>260</v>
      </c>
      <c r="G40" s="43">
        <v>4</v>
      </c>
      <c r="H40" s="43">
        <v>4</v>
      </c>
      <c r="I40" s="43">
        <v>4</v>
      </c>
      <c r="J40" s="43">
        <v>4</v>
      </c>
      <c r="K40" s="43">
        <v>4</v>
      </c>
      <c r="L40" s="43">
        <v>4</v>
      </c>
      <c r="M40" s="43">
        <v>4</v>
      </c>
      <c r="N40" s="43">
        <v>4</v>
      </c>
      <c r="O40" s="43">
        <v>4</v>
      </c>
      <c r="P40" s="43">
        <v>4</v>
      </c>
      <c r="Q40" s="43" t="s">
        <v>344</v>
      </c>
      <c r="R40" s="43" t="s">
        <v>345</v>
      </c>
      <c r="S40" s="44" t="s">
        <v>346</v>
      </c>
    </row>
    <row r="41" spans="1:19" x14ac:dyDescent="0.2">
      <c r="A41" s="41" t="s">
        <v>153</v>
      </c>
      <c r="B41" s="41" t="s">
        <v>347</v>
      </c>
      <c r="C41" s="41" t="s">
        <v>132</v>
      </c>
      <c r="D41" s="41" t="s">
        <v>348</v>
      </c>
      <c r="E41" s="41" t="s">
        <v>343</v>
      </c>
      <c r="F41" s="41" t="s">
        <v>260</v>
      </c>
      <c r="G41" s="41">
        <v>4</v>
      </c>
      <c r="H41" s="41">
        <v>4</v>
      </c>
      <c r="I41" s="41">
        <v>4</v>
      </c>
      <c r="J41" s="41">
        <v>4</v>
      </c>
      <c r="K41" s="41">
        <v>4</v>
      </c>
      <c r="L41" s="41">
        <v>4</v>
      </c>
      <c r="M41" s="41">
        <v>4</v>
      </c>
      <c r="N41" s="41">
        <v>4</v>
      </c>
      <c r="O41" s="41">
        <v>4</v>
      </c>
      <c r="P41" s="41">
        <v>4</v>
      </c>
      <c r="Q41" s="41" t="s">
        <v>349</v>
      </c>
      <c r="R41" s="41" t="s">
        <v>350</v>
      </c>
      <c r="S41" s="42" t="s">
        <v>351</v>
      </c>
    </row>
    <row r="42" spans="1:19" x14ac:dyDescent="0.2">
      <c r="A42" s="43" t="s">
        <v>352</v>
      </c>
      <c r="B42" s="43" t="s">
        <v>353</v>
      </c>
      <c r="C42" s="43" t="s">
        <v>149</v>
      </c>
      <c r="D42" s="43" t="s">
        <v>354</v>
      </c>
      <c r="E42" s="43" t="s">
        <v>355</v>
      </c>
      <c r="F42" s="43" t="s">
        <v>260</v>
      </c>
      <c r="G42" s="43">
        <v>4</v>
      </c>
      <c r="H42" s="43">
        <v>3</v>
      </c>
      <c r="I42" s="43">
        <v>4</v>
      </c>
      <c r="J42" s="43">
        <v>3</v>
      </c>
      <c r="K42" s="43">
        <v>2</v>
      </c>
      <c r="L42" s="43">
        <v>2</v>
      </c>
      <c r="M42" s="43">
        <v>4</v>
      </c>
      <c r="N42" s="43">
        <v>3</v>
      </c>
      <c r="O42" s="43">
        <v>4</v>
      </c>
      <c r="P42" s="43">
        <v>4</v>
      </c>
      <c r="Q42" s="43" t="s">
        <v>151</v>
      </c>
      <c r="R42" s="43" t="s">
        <v>152</v>
      </c>
      <c r="S42" s="44" t="s">
        <v>356</v>
      </c>
    </row>
    <row r="43" spans="1:19" x14ac:dyDescent="0.2">
      <c r="A43" s="41" t="s">
        <v>357</v>
      </c>
      <c r="B43" s="41" t="s">
        <v>358</v>
      </c>
      <c r="C43" s="41" t="s">
        <v>132</v>
      </c>
      <c r="D43" s="41" t="s">
        <v>54</v>
      </c>
      <c r="E43" s="41" t="s">
        <v>359</v>
      </c>
      <c r="F43" s="41" t="s">
        <v>260</v>
      </c>
      <c r="G43" s="41">
        <v>3</v>
      </c>
      <c r="H43" s="41">
        <v>4</v>
      </c>
      <c r="I43" s="41">
        <v>4</v>
      </c>
      <c r="J43" s="41">
        <v>4</v>
      </c>
      <c r="K43" s="41">
        <v>4</v>
      </c>
      <c r="L43" s="41">
        <v>3</v>
      </c>
      <c r="M43" s="41">
        <v>4</v>
      </c>
      <c r="N43" s="41">
        <v>4</v>
      </c>
      <c r="O43" s="41">
        <v>3</v>
      </c>
      <c r="P43" s="41">
        <v>4</v>
      </c>
      <c r="Q43" s="41" t="s">
        <v>360</v>
      </c>
      <c r="R43" s="41" t="s">
        <v>361</v>
      </c>
      <c r="S43" s="42" t="s">
        <v>362</v>
      </c>
    </row>
    <row r="44" spans="1:19" x14ac:dyDescent="0.2">
      <c r="A44" s="43" t="s">
        <v>270</v>
      </c>
      <c r="B44" s="43" t="s">
        <v>363</v>
      </c>
      <c r="C44" s="43" t="s">
        <v>132</v>
      </c>
      <c r="D44" s="43" t="s">
        <v>54</v>
      </c>
      <c r="E44" s="43" t="s">
        <v>364</v>
      </c>
      <c r="F44" s="43" t="s">
        <v>260</v>
      </c>
      <c r="G44" s="43">
        <v>4</v>
      </c>
      <c r="H44" s="43">
        <v>3</v>
      </c>
      <c r="I44" s="43">
        <v>3</v>
      </c>
      <c r="J44" s="43">
        <v>3</v>
      </c>
      <c r="K44" s="43">
        <v>3</v>
      </c>
      <c r="L44" s="43">
        <v>3</v>
      </c>
      <c r="M44" s="43">
        <v>4</v>
      </c>
      <c r="N44" s="43">
        <v>3</v>
      </c>
      <c r="O44" s="43">
        <v>3</v>
      </c>
      <c r="P44" s="43">
        <v>3</v>
      </c>
      <c r="Q44" s="43" t="s">
        <v>151</v>
      </c>
      <c r="R44" s="43" t="s">
        <v>365</v>
      </c>
      <c r="S44" s="44" t="s">
        <v>366</v>
      </c>
    </row>
    <row r="45" spans="1:19" x14ac:dyDescent="0.2">
      <c r="A45" s="41" t="s">
        <v>270</v>
      </c>
      <c r="B45" s="41" t="s">
        <v>367</v>
      </c>
      <c r="C45" s="41" t="s">
        <v>132</v>
      </c>
      <c r="D45" s="41" t="s">
        <v>54</v>
      </c>
      <c r="E45" s="41" t="s">
        <v>368</v>
      </c>
      <c r="F45" s="41" t="s">
        <v>260</v>
      </c>
      <c r="G45" s="41">
        <v>4</v>
      </c>
      <c r="H45" s="41">
        <v>4</v>
      </c>
      <c r="I45" s="41">
        <v>3</v>
      </c>
      <c r="J45" s="41">
        <v>4</v>
      </c>
      <c r="K45" s="41">
        <v>3</v>
      </c>
      <c r="L45" s="41">
        <v>4</v>
      </c>
      <c r="M45" s="41">
        <v>4</v>
      </c>
      <c r="N45" s="41">
        <v>4</v>
      </c>
      <c r="O45" s="41">
        <v>4</v>
      </c>
      <c r="P45" s="41">
        <v>4</v>
      </c>
      <c r="Q45" s="41" t="s">
        <v>369</v>
      </c>
      <c r="R45" s="41" t="s">
        <v>370</v>
      </c>
      <c r="S45" s="42" t="s">
        <v>371</v>
      </c>
    </row>
    <row r="46" spans="1:19" x14ac:dyDescent="0.2">
      <c r="A46" s="43" t="s">
        <v>130</v>
      </c>
      <c r="B46" s="43" t="s">
        <v>372</v>
      </c>
      <c r="C46" s="43" t="s">
        <v>149</v>
      </c>
      <c r="D46" s="43" t="s">
        <v>301</v>
      </c>
      <c r="E46" s="43" t="s">
        <v>373</v>
      </c>
      <c r="F46" s="43" t="s">
        <v>260</v>
      </c>
      <c r="G46" s="43">
        <v>4</v>
      </c>
      <c r="H46" s="43">
        <v>4</v>
      </c>
      <c r="I46" s="43">
        <v>4</v>
      </c>
      <c r="J46" s="43">
        <v>4</v>
      </c>
      <c r="K46" s="43">
        <v>4</v>
      </c>
      <c r="L46" s="43">
        <v>4</v>
      </c>
      <c r="M46" s="43">
        <v>4</v>
      </c>
      <c r="N46" s="43">
        <v>4</v>
      </c>
      <c r="O46" s="43">
        <v>4</v>
      </c>
      <c r="P46" s="43">
        <v>3</v>
      </c>
      <c r="Q46" s="43" t="s">
        <v>374</v>
      </c>
      <c r="R46" s="43" t="s">
        <v>375</v>
      </c>
      <c r="S46" s="44" t="s">
        <v>366</v>
      </c>
    </row>
    <row r="47" spans="1:19" x14ac:dyDescent="0.2">
      <c r="A47" s="41" t="s">
        <v>376</v>
      </c>
      <c r="B47" s="41" t="s">
        <v>377</v>
      </c>
      <c r="C47" s="41" t="s">
        <v>149</v>
      </c>
      <c r="D47" s="41" t="s">
        <v>58</v>
      </c>
      <c r="E47" s="41" t="s">
        <v>58</v>
      </c>
      <c r="F47" s="41" t="s">
        <v>260</v>
      </c>
      <c r="G47" s="41">
        <v>4</v>
      </c>
      <c r="H47" s="41">
        <v>4</v>
      </c>
      <c r="I47" s="41">
        <v>4</v>
      </c>
      <c r="J47" s="41">
        <v>4</v>
      </c>
      <c r="K47" s="41">
        <v>4</v>
      </c>
      <c r="L47" s="41">
        <v>2</v>
      </c>
      <c r="M47" s="41">
        <v>3</v>
      </c>
      <c r="N47" s="41">
        <v>4</v>
      </c>
      <c r="O47" s="41">
        <v>4</v>
      </c>
      <c r="P47" s="41">
        <v>4</v>
      </c>
      <c r="Q47" s="41" t="s">
        <v>378</v>
      </c>
      <c r="R47" s="41" t="s">
        <v>379</v>
      </c>
      <c r="S47" s="42" t="s">
        <v>380</v>
      </c>
    </row>
    <row r="48" spans="1:19" x14ac:dyDescent="0.2">
      <c r="A48" s="43" t="s">
        <v>295</v>
      </c>
      <c r="B48" s="43" t="s">
        <v>381</v>
      </c>
      <c r="C48" s="43" t="s">
        <v>149</v>
      </c>
      <c r="D48" s="43" t="s">
        <v>382</v>
      </c>
      <c r="E48" s="43" t="s">
        <v>383</v>
      </c>
      <c r="F48" s="43" t="s">
        <v>260</v>
      </c>
      <c r="G48" s="43">
        <v>4</v>
      </c>
      <c r="H48" s="43">
        <v>3</v>
      </c>
      <c r="I48" s="43">
        <v>4</v>
      </c>
      <c r="J48" s="43">
        <v>4</v>
      </c>
      <c r="K48" s="43">
        <v>4</v>
      </c>
      <c r="L48" s="43">
        <v>3</v>
      </c>
      <c r="M48" s="43">
        <v>3</v>
      </c>
      <c r="N48" s="43">
        <v>4</v>
      </c>
      <c r="O48" s="43">
        <v>2</v>
      </c>
      <c r="P48" s="43">
        <v>2</v>
      </c>
      <c r="Q48" s="43" t="s">
        <v>384</v>
      </c>
      <c r="R48" s="43" t="s">
        <v>385</v>
      </c>
      <c r="S48" s="44" t="s">
        <v>386</v>
      </c>
    </row>
    <row r="49" spans="1:19" x14ac:dyDescent="0.2">
      <c r="A49" s="41" t="s">
        <v>387</v>
      </c>
      <c r="B49" s="41" t="s">
        <v>388</v>
      </c>
      <c r="C49" s="41" t="s">
        <v>149</v>
      </c>
      <c r="D49" s="41" t="s">
        <v>301</v>
      </c>
      <c r="E49" s="41" t="s">
        <v>310</v>
      </c>
      <c r="F49" s="41" t="s">
        <v>260</v>
      </c>
      <c r="G49" s="41">
        <v>4</v>
      </c>
      <c r="H49" s="41">
        <v>4</v>
      </c>
      <c r="I49" s="41">
        <v>4</v>
      </c>
      <c r="J49" s="41">
        <v>3</v>
      </c>
      <c r="K49" s="41">
        <v>3</v>
      </c>
      <c r="L49" s="41">
        <v>3</v>
      </c>
      <c r="M49" s="41">
        <v>3</v>
      </c>
      <c r="N49" s="41">
        <v>3</v>
      </c>
      <c r="O49" s="41">
        <v>3</v>
      </c>
      <c r="P49" s="41">
        <v>3</v>
      </c>
      <c r="Q49" s="41" t="s">
        <v>151</v>
      </c>
      <c r="R49" s="41" t="s">
        <v>385</v>
      </c>
      <c r="S49" s="42" t="s">
        <v>389</v>
      </c>
    </row>
    <row r="50" spans="1:19" x14ac:dyDescent="0.2">
      <c r="A50" s="43" t="s">
        <v>390</v>
      </c>
      <c r="B50" s="43" t="s">
        <v>391</v>
      </c>
      <c r="C50" s="43" t="s">
        <v>149</v>
      </c>
      <c r="D50" s="43" t="s">
        <v>392</v>
      </c>
      <c r="E50" s="43" t="s">
        <v>393</v>
      </c>
      <c r="F50" s="43" t="s">
        <v>394</v>
      </c>
      <c r="G50" s="43">
        <v>4</v>
      </c>
      <c r="H50" s="43">
        <v>4</v>
      </c>
      <c r="I50" s="43">
        <v>4</v>
      </c>
      <c r="J50" s="43">
        <v>3</v>
      </c>
      <c r="K50" s="43">
        <v>3</v>
      </c>
      <c r="L50" s="43">
        <v>3</v>
      </c>
      <c r="M50" s="43">
        <v>4</v>
      </c>
      <c r="N50" s="43">
        <v>3</v>
      </c>
      <c r="O50" s="43">
        <v>4</v>
      </c>
      <c r="P50" s="43">
        <v>4</v>
      </c>
      <c r="Q50" s="43" t="s">
        <v>395</v>
      </c>
      <c r="R50" s="43" t="s">
        <v>396</v>
      </c>
      <c r="S50" s="44" t="s">
        <v>397</v>
      </c>
    </row>
    <row r="51" spans="1:19" x14ac:dyDescent="0.2">
      <c r="A51" s="41" t="s">
        <v>398</v>
      </c>
      <c r="B51" s="41" t="s">
        <v>107</v>
      </c>
      <c r="C51" s="41" t="s">
        <v>132</v>
      </c>
      <c r="D51" s="41" t="s">
        <v>399</v>
      </c>
      <c r="E51" s="41" t="s">
        <v>400</v>
      </c>
      <c r="F51" s="41" t="s">
        <v>394</v>
      </c>
      <c r="G51" s="41">
        <v>4</v>
      </c>
      <c r="H51" s="41">
        <v>4</v>
      </c>
      <c r="I51" s="41">
        <v>4</v>
      </c>
      <c r="J51" s="41">
        <v>4</v>
      </c>
      <c r="K51" s="41">
        <v>4</v>
      </c>
      <c r="L51" s="41">
        <v>4</v>
      </c>
      <c r="M51" s="41">
        <v>4</v>
      </c>
      <c r="N51" s="41">
        <v>4</v>
      </c>
      <c r="O51" s="41">
        <v>4</v>
      </c>
      <c r="P51" s="41">
        <v>4</v>
      </c>
      <c r="Q51" s="41" t="s">
        <v>401</v>
      </c>
      <c r="R51" s="41" t="s">
        <v>402</v>
      </c>
      <c r="S51" s="42" t="s">
        <v>403</v>
      </c>
    </row>
    <row r="52" spans="1:19" x14ac:dyDescent="0.2">
      <c r="A52" s="43" t="s">
        <v>404</v>
      </c>
      <c r="B52" s="43" t="s">
        <v>405</v>
      </c>
      <c r="C52" s="43" t="s">
        <v>132</v>
      </c>
      <c r="D52" s="43" t="s">
        <v>87</v>
      </c>
      <c r="E52" s="43" t="s">
        <v>406</v>
      </c>
      <c r="F52" s="43" t="s">
        <v>394</v>
      </c>
      <c r="G52" s="43">
        <v>4</v>
      </c>
      <c r="H52" s="43">
        <v>4</v>
      </c>
      <c r="I52" s="43">
        <v>4</v>
      </c>
      <c r="J52" s="43">
        <v>4</v>
      </c>
      <c r="K52" s="43">
        <v>4</v>
      </c>
      <c r="L52" s="43">
        <v>4</v>
      </c>
      <c r="M52" s="43">
        <v>4</v>
      </c>
      <c r="N52" s="43">
        <v>4</v>
      </c>
      <c r="O52" s="43">
        <v>4</v>
      </c>
      <c r="P52" s="43">
        <v>4</v>
      </c>
      <c r="Q52" s="43" t="s">
        <v>407</v>
      </c>
      <c r="R52" s="43" t="s">
        <v>408</v>
      </c>
      <c r="S52" s="44" t="s">
        <v>409</v>
      </c>
    </row>
    <row r="53" spans="1:19" x14ac:dyDescent="0.2">
      <c r="A53" s="41" t="s">
        <v>131</v>
      </c>
      <c r="B53" s="41" t="s">
        <v>410</v>
      </c>
      <c r="C53" s="41" t="s">
        <v>149</v>
      </c>
      <c r="D53" s="41" t="s">
        <v>411</v>
      </c>
      <c r="E53" s="41" t="s">
        <v>412</v>
      </c>
      <c r="F53" s="41" t="s">
        <v>311</v>
      </c>
      <c r="G53" s="41">
        <v>4</v>
      </c>
      <c r="H53" s="41">
        <v>4</v>
      </c>
      <c r="I53" s="41">
        <v>4</v>
      </c>
      <c r="J53" s="41">
        <v>4</v>
      </c>
      <c r="K53" s="41">
        <v>4</v>
      </c>
      <c r="L53" s="41">
        <v>4</v>
      </c>
      <c r="M53" s="41">
        <v>4</v>
      </c>
      <c r="N53" s="41">
        <v>4</v>
      </c>
      <c r="O53" s="41">
        <v>4</v>
      </c>
      <c r="P53" s="41">
        <v>4</v>
      </c>
      <c r="Q53" s="41" t="s">
        <v>413</v>
      </c>
      <c r="R53" s="41" t="s">
        <v>414</v>
      </c>
      <c r="S53" s="42" t="s">
        <v>415</v>
      </c>
    </row>
    <row r="54" spans="1:19" x14ac:dyDescent="0.2">
      <c r="A54" s="43" t="s">
        <v>416</v>
      </c>
      <c r="B54" s="43" t="s">
        <v>417</v>
      </c>
      <c r="C54" s="43" t="s">
        <v>132</v>
      </c>
      <c r="D54" s="43" t="s">
        <v>418</v>
      </c>
      <c r="E54" s="43" t="s">
        <v>419</v>
      </c>
      <c r="F54" s="43" t="s">
        <v>420</v>
      </c>
      <c r="G54" s="43">
        <v>4</v>
      </c>
      <c r="H54" s="43">
        <v>4</v>
      </c>
      <c r="I54" s="43">
        <v>4</v>
      </c>
      <c r="J54" s="43">
        <v>4</v>
      </c>
      <c r="K54" s="43">
        <v>4</v>
      </c>
      <c r="L54" s="43">
        <v>4</v>
      </c>
      <c r="M54" s="43">
        <v>4</v>
      </c>
      <c r="N54" s="43">
        <v>4</v>
      </c>
      <c r="O54" s="43">
        <v>4</v>
      </c>
      <c r="P54" s="43">
        <v>4</v>
      </c>
      <c r="Q54" s="43" t="s">
        <v>421</v>
      </c>
      <c r="R54" s="43" t="s">
        <v>422</v>
      </c>
      <c r="S54" s="44" t="s">
        <v>423</v>
      </c>
    </row>
    <row r="55" spans="1:19" x14ac:dyDescent="0.2">
      <c r="A55" s="41" t="s">
        <v>424</v>
      </c>
      <c r="B55" s="41" t="s">
        <v>425</v>
      </c>
      <c r="C55" s="41" t="s">
        <v>149</v>
      </c>
      <c r="D55" s="41" t="s">
        <v>426</v>
      </c>
      <c r="E55" s="41" t="s">
        <v>427</v>
      </c>
      <c r="F55" s="41" t="s">
        <v>428</v>
      </c>
      <c r="G55" s="41">
        <v>3</v>
      </c>
      <c r="H55" s="41">
        <v>3</v>
      </c>
      <c r="I55" s="41">
        <v>3</v>
      </c>
      <c r="J55" s="41">
        <v>3</v>
      </c>
      <c r="K55" s="41">
        <v>3</v>
      </c>
      <c r="L55" s="41">
        <v>3</v>
      </c>
      <c r="M55" s="41">
        <v>3</v>
      </c>
      <c r="N55" s="41">
        <v>3</v>
      </c>
      <c r="O55" s="41">
        <v>3</v>
      </c>
      <c r="P55" s="41">
        <v>3</v>
      </c>
      <c r="Q55" s="41" t="s">
        <v>429</v>
      </c>
      <c r="R55" s="41" t="s">
        <v>430</v>
      </c>
      <c r="S55" s="42" t="s">
        <v>431</v>
      </c>
    </row>
    <row r="56" spans="1:19" x14ac:dyDescent="0.2">
      <c r="A56" s="43" t="s">
        <v>432</v>
      </c>
      <c r="B56" s="43" t="s">
        <v>433</v>
      </c>
      <c r="C56" s="43" t="s">
        <v>149</v>
      </c>
      <c r="D56" s="43" t="s">
        <v>54</v>
      </c>
      <c r="E56" s="43" t="s">
        <v>434</v>
      </c>
      <c r="F56" s="43" t="s">
        <v>428</v>
      </c>
      <c r="G56" s="43">
        <v>3</v>
      </c>
      <c r="H56" s="43">
        <v>3</v>
      </c>
      <c r="I56" s="43">
        <v>3</v>
      </c>
      <c r="J56" s="43">
        <v>3</v>
      </c>
      <c r="K56" s="43">
        <v>3</v>
      </c>
      <c r="L56" s="43">
        <v>3</v>
      </c>
      <c r="M56" s="43">
        <v>3</v>
      </c>
      <c r="N56" s="43">
        <v>3</v>
      </c>
      <c r="O56" s="43">
        <v>2</v>
      </c>
      <c r="P56" s="43">
        <v>3</v>
      </c>
      <c r="Q56" s="43" t="s">
        <v>435</v>
      </c>
      <c r="R56" s="43" t="s">
        <v>436</v>
      </c>
      <c r="S56" s="44" t="s">
        <v>437</v>
      </c>
    </row>
    <row r="57" spans="1:19" x14ac:dyDescent="0.2">
      <c r="A57" s="41" t="s">
        <v>404</v>
      </c>
      <c r="B57" s="41" t="s">
        <v>438</v>
      </c>
      <c r="C57" s="41" t="s">
        <v>149</v>
      </c>
      <c r="D57" s="41" t="s">
        <v>426</v>
      </c>
      <c r="E57" s="41" t="s">
        <v>439</v>
      </c>
      <c r="F57" s="41" t="s">
        <v>428</v>
      </c>
      <c r="G57" s="41">
        <v>3</v>
      </c>
      <c r="H57" s="41">
        <v>3</v>
      </c>
      <c r="I57" s="41">
        <v>3</v>
      </c>
      <c r="J57" s="41">
        <v>3</v>
      </c>
      <c r="K57" s="41">
        <v>3</v>
      </c>
      <c r="L57" s="41">
        <v>3</v>
      </c>
      <c r="M57" s="41">
        <v>3</v>
      </c>
      <c r="N57" s="41">
        <v>3</v>
      </c>
      <c r="O57" s="41">
        <v>3</v>
      </c>
      <c r="P57" s="41">
        <v>3</v>
      </c>
      <c r="Q57" s="41" t="s">
        <v>440</v>
      </c>
      <c r="R57" s="41" t="s">
        <v>441</v>
      </c>
      <c r="S57" s="42" t="s">
        <v>442</v>
      </c>
    </row>
    <row r="58" spans="1:19" x14ac:dyDescent="0.2">
      <c r="A58" s="43" t="s">
        <v>424</v>
      </c>
      <c r="B58" s="43" t="s">
        <v>443</v>
      </c>
      <c r="C58" s="43" t="s">
        <v>149</v>
      </c>
      <c r="D58" s="43" t="s">
        <v>444</v>
      </c>
      <c r="E58" s="43" t="s">
        <v>445</v>
      </c>
      <c r="F58" s="43" t="s">
        <v>394</v>
      </c>
      <c r="G58" s="43">
        <v>4</v>
      </c>
      <c r="H58" s="43">
        <v>4</v>
      </c>
      <c r="I58" s="43">
        <v>4</v>
      </c>
      <c r="J58" s="43">
        <v>4</v>
      </c>
      <c r="K58" s="43">
        <v>4</v>
      </c>
      <c r="L58" s="43">
        <v>4</v>
      </c>
      <c r="M58" s="43">
        <v>4</v>
      </c>
      <c r="N58" s="43">
        <v>4</v>
      </c>
      <c r="O58" s="43">
        <v>4</v>
      </c>
      <c r="P58" s="43">
        <v>4</v>
      </c>
      <c r="Q58" s="43" t="s">
        <v>446</v>
      </c>
      <c r="R58" s="43" t="s">
        <v>447</v>
      </c>
      <c r="S58" s="44" t="s">
        <v>448</v>
      </c>
    </row>
    <row r="59" spans="1:19" x14ac:dyDescent="0.2">
      <c r="A59" s="41" t="s">
        <v>449</v>
      </c>
      <c r="B59" s="41" t="s">
        <v>450</v>
      </c>
      <c r="C59" s="41" t="s">
        <v>149</v>
      </c>
      <c r="D59" s="41" t="s">
        <v>451</v>
      </c>
      <c r="E59" s="41" t="s">
        <v>452</v>
      </c>
      <c r="F59" s="41" t="s">
        <v>428</v>
      </c>
      <c r="G59" s="41">
        <v>2</v>
      </c>
      <c r="H59" s="41">
        <v>2</v>
      </c>
      <c r="I59" s="41">
        <v>3</v>
      </c>
      <c r="J59" s="41">
        <v>3</v>
      </c>
      <c r="K59" s="41">
        <v>1</v>
      </c>
      <c r="L59" s="41">
        <v>2</v>
      </c>
      <c r="M59" s="41">
        <v>3</v>
      </c>
      <c r="N59" s="41">
        <v>2</v>
      </c>
      <c r="O59" s="41">
        <v>2</v>
      </c>
      <c r="P59" s="41">
        <v>2</v>
      </c>
      <c r="Q59" s="41" t="s">
        <v>453</v>
      </c>
      <c r="R59" s="41" t="s">
        <v>454</v>
      </c>
      <c r="S59" s="42" t="s">
        <v>455</v>
      </c>
    </row>
    <row r="60" spans="1:19" x14ac:dyDescent="0.2">
      <c r="A60" s="43" t="s">
        <v>456</v>
      </c>
      <c r="B60" s="43" t="s">
        <v>457</v>
      </c>
      <c r="C60" s="43" t="s">
        <v>149</v>
      </c>
      <c r="D60" s="43" t="s">
        <v>458</v>
      </c>
      <c r="E60" s="43" t="s">
        <v>459</v>
      </c>
      <c r="F60" s="43" t="s">
        <v>420</v>
      </c>
      <c r="G60" s="43">
        <v>4</v>
      </c>
      <c r="H60" s="43">
        <v>4</v>
      </c>
      <c r="I60" s="43">
        <v>4</v>
      </c>
      <c r="J60" s="43">
        <v>4</v>
      </c>
      <c r="K60" s="43">
        <v>4</v>
      </c>
      <c r="L60" s="43">
        <v>4</v>
      </c>
      <c r="M60" s="43">
        <v>4</v>
      </c>
      <c r="N60" s="43">
        <v>4</v>
      </c>
      <c r="O60" s="43">
        <v>4</v>
      </c>
      <c r="P60" s="43">
        <v>4</v>
      </c>
      <c r="Q60" s="43" t="s">
        <v>460</v>
      </c>
      <c r="R60" s="43" t="s">
        <v>461</v>
      </c>
      <c r="S60" s="44" t="s">
        <v>462</v>
      </c>
    </row>
    <row r="61" spans="1:19" x14ac:dyDescent="0.2">
      <c r="A61" s="45" t="s">
        <v>463</v>
      </c>
      <c r="B61" s="45" t="s">
        <v>464</v>
      </c>
      <c r="C61" s="45" t="s">
        <v>132</v>
      </c>
      <c r="D61" s="45" t="s">
        <v>465</v>
      </c>
      <c r="E61" s="45" t="s">
        <v>465</v>
      </c>
      <c r="F61" s="45" t="s">
        <v>260</v>
      </c>
      <c r="G61" s="45">
        <v>3</v>
      </c>
      <c r="H61" s="45">
        <v>3</v>
      </c>
      <c r="I61" s="45">
        <v>3</v>
      </c>
      <c r="J61" s="45">
        <v>3</v>
      </c>
      <c r="K61" s="45">
        <v>3</v>
      </c>
      <c r="L61" s="45">
        <v>3</v>
      </c>
      <c r="M61" s="45">
        <v>3</v>
      </c>
      <c r="N61" s="45">
        <v>4</v>
      </c>
      <c r="O61" s="45">
        <v>3</v>
      </c>
      <c r="P61" s="45">
        <v>3</v>
      </c>
      <c r="Q61" s="45" t="s">
        <v>466</v>
      </c>
      <c r="R61" s="45" t="s">
        <v>467</v>
      </c>
      <c r="S61" s="46" t="s">
        <v>468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Vendor</vt:lpstr>
      <vt:lpstr>Participant</vt:lpstr>
      <vt:lpstr>Budgeting</vt:lpstr>
      <vt:lpstr>Satisfaction Survey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Biro Administrasi Kerjasama dan Pengembangan</cp:lastModifiedBy>
  <dcterms:modified xsi:type="dcterms:W3CDTF">2026-05-15T05:29:47Z</dcterms:modified>
</cp:coreProperties>
</file>